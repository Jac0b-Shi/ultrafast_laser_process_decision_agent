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gweiming/Desktop/"/>
    </mc:Choice>
  </mc:AlternateContent>
  <xr:revisionPtr revIDLastSave="0" documentId="13_ncr:1_{760A611C-EFB4-7140-B283-82C8845C00FD}" xr6:coauthVersionLast="47" xr6:coauthVersionMax="47" xr10:uidLastSave="{00000000-0000-0000-0000-000000000000}"/>
  <bookViews>
    <workbookView xWindow="1080" yWindow="780" windowWidth="27720" windowHeight="15620" xr2:uid="{AB05C8AA-0D5D-D04C-9184-09934F620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1" l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<sst xmlns="http://schemas.openxmlformats.org/spreadsheetml/2006/main" count="17" uniqueCount="17">
  <si>
    <t>number</t>
    <phoneticPr fontId="2" type="noConversion"/>
  </si>
  <si>
    <t>pulse mode</t>
  </si>
  <si>
    <t>pulse frequency</t>
  </si>
  <si>
    <t>energy</t>
  </si>
  <si>
    <t>defocusing amount</t>
  </si>
  <si>
    <t>marking frequency</t>
  </si>
  <si>
    <t>depth</t>
    <phoneticPr fontId="2" type="noConversion"/>
  </si>
  <si>
    <t>diameter</t>
    <phoneticPr fontId="2" type="noConversion"/>
  </si>
  <si>
    <t>depth/diameter</t>
    <phoneticPr fontId="2" type="noConversion"/>
  </si>
  <si>
    <t>Average Power(W)</t>
    <phoneticPr fontId="2" type="noConversion"/>
  </si>
  <si>
    <t>Pulse energy(mJ)</t>
    <phoneticPr fontId="2" type="noConversion"/>
  </si>
  <si>
    <t>Peak Power(kW)</t>
    <phoneticPr fontId="2" type="noConversion"/>
  </si>
  <si>
    <t>Sa</t>
    <phoneticPr fontId="2" type="noConversion"/>
  </si>
  <si>
    <t>Sz</t>
    <phoneticPr fontId="2" type="noConversion"/>
  </si>
  <si>
    <t>Str</t>
    <phoneticPr fontId="2" type="noConversion"/>
  </si>
  <si>
    <t>Spc</t>
    <phoneticPr fontId="2" type="noConversion"/>
  </si>
  <si>
    <t>Sdr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</si>
</sst>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CB5A-A6DD-0F4E-AF92-BB485B208002}">
  <dimension ref="A1:Q83"/>
  <sheetViews>
    <sheetView tabSelected="1" topLeftCell="D1" zoomScale="206" workbookViewId="0">
      <selection activeCell="K3" sqref="K3"/>
    </sheetView>
  </sheetViews>
  <sheetFormatPr baseColWidth="10" defaultRowHeight="16"/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4</v>
      </c>
      <c r="G1" s="4" t="s">
        <v>5</v>
      </c>
      <c r="H1" s="4" t="s">
        <v>9</v>
      </c>
      <c r="I1" s="4" t="s">
        <v>6</v>
      </c>
      <c r="J1" s="4" t="s">
        <v>7</v>
      </c>
      <c r="K1" s="4" t="s">
        <v>8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2</v>
      </c>
      <c r="B2" s="2">
        <v>500</v>
      </c>
      <c r="C2" s="2">
        <v>20</v>
      </c>
      <c r="D2" s="2">
        <v>90</v>
      </c>
      <c r="E2" s="2">
        <v>1.8</v>
      </c>
      <c r="F2" s="2">
        <v>-0.5</v>
      </c>
      <c r="G2" s="2">
        <v>100</v>
      </c>
      <c r="H2" s="2">
        <v>35.9</v>
      </c>
      <c r="I2" s="2">
        <v>30.782</v>
      </c>
      <c r="J2" s="2">
        <v>133.274</v>
      </c>
      <c r="K2" s="2">
        <f>I2 / J2</f>
        <v>0.23096778066239476</v>
      </c>
      <c r="L2" s="2">
        <v>3.6</v>
      </c>
      <c r="M2" s="1">
        <v>1.669</v>
      </c>
      <c r="N2" s="1">
        <v>48.249000000000002</v>
      </c>
      <c r="O2" s="1"/>
      <c r="P2" s="1"/>
      <c r="Q2" s="1">
        <v>0.26069999999999999</v>
      </c>
    </row>
    <row r="3" spans="1:17">
      <c r="A3" s="1">
        <v>6</v>
      </c>
      <c r="B3" s="2">
        <v>60</v>
      </c>
      <c r="C3" s="2">
        <v>1500</v>
      </c>
      <c r="D3" s="2">
        <v>70</v>
      </c>
      <c r="E3" s="1">
        <v>0.15</v>
      </c>
      <c r="F3" s="2">
        <v>-1</v>
      </c>
      <c r="G3" s="2">
        <v>300</v>
      </c>
      <c r="H3" s="1">
        <v>209.4</v>
      </c>
      <c r="I3" s="2">
        <v>35.198999999999998</v>
      </c>
      <c r="J3" s="2">
        <v>568.96299999999997</v>
      </c>
      <c r="K3" s="1">
        <f t="shared" ref="K3:K66" si="0">I3 / J3</f>
        <v>6.186518279747541E-2</v>
      </c>
      <c r="L3" s="1">
        <v>2.6</v>
      </c>
      <c r="M3" s="2">
        <v>5.6630000000000003</v>
      </c>
      <c r="N3" s="2">
        <v>60.96</v>
      </c>
      <c r="O3" s="2"/>
      <c r="P3" s="2">
        <v>677.42899999999997</v>
      </c>
      <c r="Q3" s="2">
        <v>0.17580000000000001</v>
      </c>
    </row>
    <row r="4" spans="1:17">
      <c r="A4" s="2">
        <v>12</v>
      </c>
      <c r="B4" s="1">
        <v>120</v>
      </c>
      <c r="C4" s="1">
        <v>500</v>
      </c>
      <c r="D4" s="1">
        <v>80</v>
      </c>
      <c r="E4" s="2">
        <v>0.52</v>
      </c>
      <c r="F4" s="1">
        <v>1.5</v>
      </c>
      <c r="G4" s="1">
        <v>50</v>
      </c>
      <c r="H4" s="2">
        <v>240</v>
      </c>
      <c r="I4" s="1">
        <v>55.66</v>
      </c>
      <c r="J4" s="1">
        <v>594.14499999999998</v>
      </c>
      <c r="K4" s="2">
        <f t="shared" si="0"/>
        <v>9.3680835486287015E-2</v>
      </c>
      <c r="L4" s="2">
        <v>4.3</v>
      </c>
      <c r="M4" s="2">
        <v>10.141</v>
      </c>
      <c r="N4" s="2">
        <v>85.367999999999995</v>
      </c>
      <c r="O4" s="2">
        <v>0.74399999999999999</v>
      </c>
      <c r="P4" s="2"/>
      <c r="Q4" s="2">
        <v>0.19589999999999999</v>
      </c>
    </row>
    <row r="5" spans="1:17">
      <c r="A5" s="2">
        <v>14</v>
      </c>
      <c r="B5" s="2">
        <v>500</v>
      </c>
      <c r="C5" s="2">
        <v>1000</v>
      </c>
      <c r="D5" s="2">
        <v>40</v>
      </c>
      <c r="E5" s="2">
        <v>0.24</v>
      </c>
      <c r="F5" s="2">
        <v>-1</v>
      </c>
      <c r="G5" s="2">
        <v>500</v>
      </c>
      <c r="H5" s="2">
        <v>120</v>
      </c>
      <c r="I5" s="2">
        <v>48.262999999999998</v>
      </c>
      <c r="J5" s="2">
        <v>587.52300000000002</v>
      </c>
      <c r="K5" s="2">
        <f t="shared" si="0"/>
        <v>8.2146571283166783E-2</v>
      </c>
      <c r="L5" s="2">
        <v>0.5</v>
      </c>
      <c r="M5" s="1">
        <v>10.35</v>
      </c>
      <c r="N5" s="1">
        <v>71.387</v>
      </c>
      <c r="O5" s="1"/>
      <c r="P5" s="1">
        <v>651.89099999999996</v>
      </c>
      <c r="Q5" s="1">
        <v>0.17069999999999999</v>
      </c>
    </row>
    <row r="6" spans="1:17">
      <c r="A6" s="1">
        <v>16</v>
      </c>
      <c r="B6" s="1">
        <v>120</v>
      </c>
      <c r="C6" s="1">
        <v>2000</v>
      </c>
      <c r="D6" s="1">
        <v>90</v>
      </c>
      <c r="E6" s="1">
        <v>0.15</v>
      </c>
      <c r="F6" s="1">
        <v>1.5</v>
      </c>
      <c r="G6" s="1">
        <v>100</v>
      </c>
      <c r="H6" s="1">
        <v>269.39999999999998</v>
      </c>
      <c r="I6" s="1">
        <v>26.484999999999999</v>
      </c>
      <c r="J6" s="1">
        <v>367.06900000000002</v>
      </c>
      <c r="K6" s="1">
        <f t="shared" si="0"/>
        <v>7.2152647050009663E-2</v>
      </c>
      <c r="L6" s="1">
        <v>1.2</v>
      </c>
      <c r="M6" s="1">
        <v>4.9859999999999998</v>
      </c>
      <c r="N6" s="1">
        <v>44.253999999999998</v>
      </c>
      <c r="O6" s="1">
        <v>0.84699999999999998</v>
      </c>
      <c r="P6" s="1"/>
      <c r="Q6" s="1">
        <v>0.2089</v>
      </c>
    </row>
    <row r="7" spans="1:17">
      <c r="A7" s="1">
        <v>20</v>
      </c>
      <c r="B7" s="1">
        <v>240</v>
      </c>
      <c r="C7" s="1">
        <v>1000</v>
      </c>
      <c r="D7" s="1">
        <v>90</v>
      </c>
      <c r="E7" s="2">
        <v>0.3</v>
      </c>
      <c r="F7" s="1">
        <v>0.5</v>
      </c>
      <c r="G7" s="1">
        <v>40</v>
      </c>
      <c r="H7" s="2">
        <v>269.39999999999998</v>
      </c>
      <c r="I7" s="1">
        <v>15.042</v>
      </c>
      <c r="J7" s="1">
        <v>218.66</v>
      </c>
      <c r="K7" s="2">
        <f t="shared" si="0"/>
        <v>6.8791731455227295E-2</v>
      </c>
      <c r="L7" s="2">
        <v>1.2</v>
      </c>
      <c r="M7" s="2">
        <v>3.2519999999999998</v>
      </c>
      <c r="N7" s="2">
        <v>40.866999999999997</v>
      </c>
      <c r="O7" s="2"/>
      <c r="P7" s="2"/>
      <c r="Q7" s="2">
        <v>0.24160000000000001</v>
      </c>
    </row>
    <row r="8" spans="1:17">
      <c r="A8" s="2">
        <v>23</v>
      </c>
      <c r="B8" s="2">
        <v>120</v>
      </c>
      <c r="C8" s="2">
        <v>1000</v>
      </c>
      <c r="D8" s="2">
        <v>60</v>
      </c>
      <c r="E8" s="2">
        <v>0.2</v>
      </c>
      <c r="F8" s="2">
        <v>2</v>
      </c>
      <c r="G8" s="2">
        <v>100</v>
      </c>
      <c r="H8" s="2">
        <v>180</v>
      </c>
      <c r="I8" s="2">
        <v>32.871000000000002</v>
      </c>
      <c r="J8" s="2">
        <v>407.98200000000003</v>
      </c>
      <c r="K8" s="2">
        <f t="shared" si="0"/>
        <v>8.0569731017544888E-2</v>
      </c>
      <c r="L8" s="2">
        <v>1.6</v>
      </c>
      <c r="M8" s="2">
        <v>4.952</v>
      </c>
      <c r="N8" s="2">
        <v>56.624000000000002</v>
      </c>
      <c r="O8" s="2"/>
      <c r="P8" s="2">
        <v>892.91</v>
      </c>
      <c r="Q8" s="2">
        <v>0.30869999999999997</v>
      </c>
    </row>
    <row r="9" spans="1:17">
      <c r="A9" s="2">
        <v>24</v>
      </c>
      <c r="B9" s="1">
        <v>500</v>
      </c>
      <c r="C9" s="1">
        <v>1000</v>
      </c>
      <c r="D9" s="1">
        <v>50</v>
      </c>
      <c r="E9" s="1">
        <v>0.3</v>
      </c>
      <c r="F9" s="1">
        <v>1.5</v>
      </c>
      <c r="G9" s="1">
        <v>100</v>
      </c>
      <c r="H9" s="1">
        <v>149.4</v>
      </c>
      <c r="I9" s="1">
        <v>15.757999999999999</v>
      </c>
      <c r="J9" s="1">
        <v>296.98399999999998</v>
      </c>
      <c r="K9" s="1">
        <f t="shared" si="0"/>
        <v>5.3060097513670773E-2</v>
      </c>
      <c r="L9" s="1">
        <v>0.6</v>
      </c>
      <c r="M9" s="1">
        <v>3.3879999999999999</v>
      </c>
      <c r="N9" s="1">
        <v>28.844999999999999</v>
      </c>
      <c r="O9" s="1">
        <v>0.53500000000000003</v>
      </c>
      <c r="P9" s="1"/>
      <c r="Q9" s="1">
        <v>0.30690000000000001</v>
      </c>
    </row>
    <row r="10" spans="1:17">
      <c r="A10" s="1">
        <v>30</v>
      </c>
      <c r="B10" s="1">
        <v>240</v>
      </c>
      <c r="C10" s="1">
        <v>1500</v>
      </c>
      <c r="D10" s="1">
        <v>40</v>
      </c>
      <c r="E10" s="2">
        <v>0.13</v>
      </c>
      <c r="F10" s="1">
        <v>0.5</v>
      </c>
      <c r="G10" s="1">
        <v>100</v>
      </c>
      <c r="H10" s="2">
        <v>120</v>
      </c>
      <c r="I10" s="1">
        <v>8.2949999999999999</v>
      </c>
      <c r="J10" s="1">
        <v>284.08499999999998</v>
      </c>
      <c r="K10" s="2">
        <f t="shared" si="0"/>
        <v>2.919900733935266E-2</v>
      </c>
      <c r="L10" s="2">
        <v>0.5</v>
      </c>
      <c r="M10" s="1">
        <v>2.823</v>
      </c>
      <c r="N10" s="1">
        <v>22.387</v>
      </c>
      <c r="O10" s="1">
        <v>0.61199999999999999</v>
      </c>
      <c r="P10" s="1"/>
      <c r="Q10" s="1">
        <v>0.26690000000000003</v>
      </c>
    </row>
    <row r="11" spans="1:17">
      <c r="A11" s="1">
        <v>34</v>
      </c>
      <c r="B11" s="2">
        <v>500</v>
      </c>
      <c r="C11" s="2">
        <v>500</v>
      </c>
      <c r="D11" s="2">
        <v>80</v>
      </c>
      <c r="E11" s="2">
        <v>0.48</v>
      </c>
      <c r="F11" s="2">
        <v>-1.5</v>
      </c>
      <c r="G11" s="2">
        <v>500</v>
      </c>
      <c r="H11" s="2">
        <v>240</v>
      </c>
      <c r="I11" s="2">
        <v>36.671999999999997</v>
      </c>
      <c r="J11" s="2">
        <v>721.96400000000006</v>
      </c>
      <c r="K11" s="2">
        <f t="shared" si="0"/>
        <v>5.0794776470848957E-2</v>
      </c>
      <c r="L11" s="2">
        <v>1</v>
      </c>
      <c r="M11" s="2">
        <v>5.234</v>
      </c>
      <c r="N11" s="2">
        <v>66.763000000000005</v>
      </c>
      <c r="O11" s="2"/>
      <c r="P11" s="2">
        <v>534.17999999999995</v>
      </c>
      <c r="Q11" s="2">
        <v>0.1246</v>
      </c>
    </row>
    <row r="12" spans="1:17">
      <c r="A12" s="2">
        <v>35</v>
      </c>
      <c r="B12" s="1">
        <v>240</v>
      </c>
      <c r="C12" s="1">
        <v>50</v>
      </c>
      <c r="D12" s="1">
        <v>70</v>
      </c>
      <c r="E12" s="1">
        <v>1.4</v>
      </c>
      <c r="F12" s="1">
        <v>1</v>
      </c>
      <c r="G12" s="1">
        <v>40</v>
      </c>
      <c r="H12" s="1">
        <v>62.7</v>
      </c>
      <c r="I12" s="1">
        <v>15.589</v>
      </c>
      <c r="J12" s="1">
        <v>177.08699999999999</v>
      </c>
      <c r="K12" s="1">
        <f t="shared" si="0"/>
        <v>8.8030177257506212E-2</v>
      </c>
      <c r="L12" s="1">
        <v>5.8</v>
      </c>
      <c r="M12" s="2">
        <v>2.7160000000000002</v>
      </c>
      <c r="N12" s="2">
        <v>25.666</v>
      </c>
      <c r="O12" s="2">
        <v>0.83599999999999997</v>
      </c>
      <c r="P12" s="2"/>
      <c r="Q12" s="2">
        <v>0.2346</v>
      </c>
    </row>
    <row r="13" spans="1:17">
      <c r="A13" s="2">
        <v>39</v>
      </c>
      <c r="B13" s="2">
        <v>60</v>
      </c>
      <c r="C13" s="2">
        <v>300</v>
      </c>
      <c r="D13" s="2">
        <v>30</v>
      </c>
      <c r="E13" s="2">
        <v>0.2</v>
      </c>
      <c r="F13" s="2">
        <v>2</v>
      </c>
      <c r="G13" s="2">
        <v>500</v>
      </c>
      <c r="H13" s="2">
        <v>89.4</v>
      </c>
      <c r="I13" s="2">
        <v>41.533000000000001</v>
      </c>
      <c r="J13" s="2">
        <v>457.39299999999997</v>
      </c>
      <c r="K13" s="2">
        <f t="shared" si="0"/>
        <v>9.0803750822596771E-2</v>
      </c>
      <c r="L13" s="2">
        <v>3.3</v>
      </c>
      <c r="M13" s="1">
        <v>14.441000000000001</v>
      </c>
      <c r="N13" s="1">
        <v>63.494</v>
      </c>
      <c r="O13" s="1"/>
      <c r="P13" s="1">
        <v>557.44100000000003</v>
      </c>
      <c r="Q13" s="1">
        <v>0.2079</v>
      </c>
    </row>
    <row r="14" spans="1:17">
      <c r="A14" s="1">
        <v>42</v>
      </c>
      <c r="B14" s="2">
        <v>120</v>
      </c>
      <c r="C14" s="2">
        <v>50</v>
      </c>
      <c r="D14" s="2">
        <v>60</v>
      </c>
      <c r="E14" s="2">
        <v>0.78</v>
      </c>
      <c r="F14" s="2">
        <v>2</v>
      </c>
      <c r="G14" s="2">
        <v>50</v>
      </c>
      <c r="H14" s="2">
        <v>36</v>
      </c>
      <c r="I14" s="2">
        <v>25.53</v>
      </c>
      <c r="J14" s="2">
        <v>99.680999999999997</v>
      </c>
      <c r="K14" s="2">
        <f t="shared" si="0"/>
        <v>0.25611701327233877</v>
      </c>
      <c r="L14" s="2">
        <v>6.5</v>
      </c>
      <c r="M14" s="1">
        <v>1.5329999999999999</v>
      </c>
      <c r="N14" s="1">
        <v>39.570999999999998</v>
      </c>
      <c r="O14" s="1">
        <v>0.92900000000000005</v>
      </c>
      <c r="P14" s="1"/>
      <c r="Q14" s="1">
        <v>0.4173</v>
      </c>
    </row>
    <row r="15" spans="1:17">
      <c r="A15" s="1">
        <v>46</v>
      </c>
      <c r="B15" s="2">
        <v>240</v>
      </c>
      <c r="C15" s="2">
        <v>2000</v>
      </c>
      <c r="D15" s="2">
        <v>30</v>
      </c>
      <c r="E15" s="1">
        <v>0.1</v>
      </c>
      <c r="F15" s="2">
        <v>-1</v>
      </c>
      <c r="G15" s="2">
        <v>300</v>
      </c>
      <c r="H15" s="1">
        <v>89.4</v>
      </c>
      <c r="I15" s="2">
        <v>33.011000000000003</v>
      </c>
      <c r="J15" s="2">
        <v>370.80799999999999</v>
      </c>
      <c r="K15" s="1">
        <f t="shared" si="0"/>
        <v>8.9024508640590291E-2</v>
      </c>
      <c r="L15" s="1">
        <v>0.4</v>
      </c>
      <c r="M15" s="2">
        <v>7.8769999999999998</v>
      </c>
      <c r="N15" s="2">
        <v>48.308</v>
      </c>
      <c r="O15" s="2"/>
      <c r="P15" s="2"/>
      <c r="Q15" s="2">
        <v>0.2364</v>
      </c>
    </row>
    <row r="16" spans="1:17">
      <c r="A16" s="2">
        <v>52</v>
      </c>
      <c r="B16" s="2">
        <v>240</v>
      </c>
      <c r="C16" s="2">
        <v>50</v>
      </c>
      <c r="D16" s="2">
        <v>60</v>
      </c>
      <c r="E16" s="2">
        <v>1.2</v>
      </c>
      <c r="F16" s="2">
        <v>2</v>
      </c>
      <c r="G16" s="2">
        <v>35</v>
      </c>
      <c r="H16" s="2">
        <v>53.9</v>
      </c>
      <c r="I16" s="2">
        <v>21.722999999999999</v>
      </c>
      <c r="J16" s="2">
        <v>131.53399999999999</v>
      </c>
      <c r="K16" s="2">
        <f t="shared" si="0"/>
        <v>0.16515121565526783</v>
      </c>
      <c r="L16" s="2">
        <v>5</v>
      </c>
      <c r="M16" s="2">
        <v>1.7629999999999999</v>
      </c>
      <c r="N16" s="2">
        <v>42.404000000000003</v>
      </c>
      <c r="O16" s="2"/>
      <c r="P16" s="2"/>
      <c r="Q16" s="2">
        <v>0.41289999999999999</v>
      </c>
    </row>
    <row r="17" spans="1:17">
      <c r="A17" s="2">
        <v>53</v>
      </c>
      <c r="B17" s="2">
        <v>60</v>
      </c>
      <c r="C17" s="2">
        <v>300</v>
      </c>
      <c r="D17" s="2">
        <v>40</v>
      </c>
      <c r="E17" s="2">
        <v>0.27</v>
      </c>
      <c r="F17" s="2">
        <v>2</v>
      </c>
      <c r="G17" s="2">
        <v>500</v>
      </c>
      <c r="H17" s="2">
        <v>120</v>
      </c>
      <c r="I17" s="2">
        <v>105.58</v>
      </c>
      <c r="J17" s="2">
        <v>511.16500000000002</v>
      </c>
      <c r="K17" s="2">
        <f t="shared" si="0"/>
        <v>0.20654778789627615</v>
      </c>
      <c r="L17" s="2">
        <v>4.4000000000000004</v>
      </c>
      <c r="M17" s="1">
        <v>19.858000000000001</v>
      </c>
      <c r="N17" s="1">
        <v>132.23099999999999</v>
      </c>
      <c r="O17" s="1"/>
      <c r="P17" s="1">
        <v>731.84799999999996</v>
      </c>
      <c r="Q17" s="1">
        <v>0.2802</v>
      </c>
    </row>
    <row r="18" spans="1:17">
      <c r="A18" s="1">
        <v>54</v>
      </c>
      <c r="B18" s="2">
        <v>120</v>
      </c>
      <c r="C18" s="2">
        <v>500</v>
      </c>
      <c r="D18" s="2">
        <v>50</v>
      </c>
      <c r="E18" s="1">
        <v>0.32</v>
      </c>
      <c r="F18" s="2">
        <v>-0.5</v>
      </c>
      <c r="G18" s="2">
        <v>300</v>
      </c>
      <c r="H18" s="1">
        <v>149.4</v>
      </c>
      <c r="I18" s="2">
        <v>41.271000000000001</v>
      </c>
      <c r="J18" s="2">
        <v>548.28499999999997</v>
      </c>
      <c r="K18" s="1">
        <f t="shared" si="0"/>
        <v>7.5272896395122982E-2</v>
      </c>
      <c r="L18" s="1">
        <v>2.7</v>
      </c>
      <c r="M18" s="1">
        <v>8.8680000000000003</v>
      </c>
      <c r="N18" s="1">
        <v>72.602000000000004</v>
      </c>
      <c r="O18" s="1"/>
      <c r="P18" s="1">
        <v>629.024</v>
      </c>
      <c r="Q18" s="1">
        <v>0.17849999999999999</v>
      </c>
    </row>
    <row r="19" spans="1:17">
      <c r="A19" s="1">
        <v>56</v>
      </c>
      <c r="B19" s="1">
        <v>500</v>
      </c>
      <c r="C19" s="1">
        <v>1000</v>
      </c>
      <c r="D19" s="1">
        <v>60</v>
      </c>
      <c r="E19" s="2">
        <v>0.36</v>
      </c>
      <c r="F19" s="1">
        <v>1</v>
      </c>
      <c r="G19" s="1">
        <v>100</v>
      </c>
      <c r="H19" s="2">
        <v>180</v>
      </c>
      <c r="I19" s="1">
        <v>19.695</v>
      </c>
      <c r="J19" s="1">
        <v>460.20699999999999</v>
      </c>
      <c r="K19" s="2">
        <f t="shared" si="0"/>
        <v>4.2795959209659999E-2</v>
      </c>
      <c r="L19" s="2">
        <v>0.7</v>
      </c>
      <c r="M19" s="2">
        <v>4.3250000000000002</v>
      </c>
      <c r="N19" s="2">
        <v>33.979999999999997</v>
      </c>
      <c r="O19" s="2"/>
      <c r="P19" s="2"/>
      <c r="Q19" s="2">
        <v>0.27239999999999998</v>
      </c>
    </row>
    <row r="20" spans="1:17">
      <c r="A20" s="2">
        <v>59</v>
      </c>
      <c r="B20" s="2">
        <v>120</v>
      </c>
      <c r="C20" s="2">
        <v>2000</v>
      </c>
      <c r="D20" s="2">
        <v>30</v>
      </c>
      <c r="E20" s="2">
        <v>0.05</v>
      </c>
      <c r="F20" s="2">
        <v>-0.5</v>
      </c>
      <c r="G20" s="2">
        <v>500</v>
      </c>
      <c r="H20" s="2">
        <v>89.4</v>
      </c>
      <c r="I20" s="2">
        <v>38.21</v>
      </c>
      <c r="J20" s="2">
        <v>441.25</v>
      </c>
      <c r="K20" s="2">
        <f t="shared" si="0"/>
        <v>8.6594900849858353E-2</v>
      </c>
      <c r="L20" s="2">
        <v>0.4</v>
      </c>
      <c r="M20" s="2">
        <v>16.242000000000001</v>
      </c>
      <c r="N20" s="2">
        <v>56.930999999999997</v>
      </c>
      <c r="O20" s="2"/>
      <c r="P20" s="2"/>
      <c r="Q20" s="2">
        <v>0.32040000000000002</v>
      </c>
    </row>
    <row r="21" spans="1:17">
      <c r="A21" s="2">
        <v>63</v>
      </c>
      <c r="B21" s="2">
        <v>120</v>
      </c>
      <c r="C21" s="2">
        <v>50</v>
      </c>
      <c r="D21" s="2">
        <v>80</v>
      </c>
      <c r="E21" s="1">
        <v>1.04</v>
      </c>
      <c r="F21" s="2">
        <v>-2</v>
      </c>
      <c r="G21" s="2">
        <v>300</v>
      </c>
      <c r="H21" s="1">
        <v>48</v>
      </c>
      <c r="I21" s="2">
        <v>35.993000000000002</v>
      </c>
      <c r="J21" s="2">
        <v>146.69200000000001</v>
      </c>
      <c r="K21" s="1">
        <f t="shared" si="0"/>
        <v>0.24536443705178196</v>
      </c>
      <c r="L21" s="1">
        <v>8.6999999999999993</v>
      </c>
      <c r="M21" s="1">
        <v>3.45</v>
      </c>
      <c r="N21" s="1">
        <v>46.523000000000003</v>
      </c>
      <c r="O21" s="1"/>
      <c r="P21" s="1"/>
      <c r="Q21" s="1">
        <v>0.30740000000000001</v>
      </c>
    </row>
    <row r="22" spans="1:17">
      <c r="A22" s="1">
        <v>67</v>
      </c>
      <c r="B22" s="2">
        <v>500</v>
      </c>
      <c r="C22" s="2">
        <v>500</v>
      </c>
      <c r="D22" s="2">
        <v>50</v>
      </c>
      <c r="E22" s="2">
        <v>0.3</v>
      </c>
      <c r="F22" s="2">
        <v>-1</v>
      </c>
      <c r="G22" s="2">
        <v>300</v>
      </c>
      <c r="H22" s="2">
        <v>149.4</v>
      </c>
      <c r="I22" s="2">
        <v>29.97</v>
      </c>
      <c r="J22" s="2">
        <v>547.803</v>
      </c>
      <c r="K22" s="2">
        <f t="shared" si="0"/>
        <v>5.4709448469614078E-2</v>
      </c>
      <c r="L22" s="2">
        <v>0.6</v>
      </c>
      <c r="M22" s="1">
        <v>5.8810000000000002</v>
      </c>
      <c r="N22" s="1">
        <v>56.375999999999998</v>
      </c>
      <c r="O22" s="1"/>
      <c r="P22" s="1"/>
      <c r="Q22" s="1">
        <v>0.2833</v>
      </c>
    </row>
    <row r="23" spans="1:17">
      <c r="A23" s="1">
        <v>70</v>
      </c>
      <c r="B23" s="2">
        <v>120</v>
      </c>
      <c r="C23" s="2">
        <v>100</v>
      </c>
      <c r="D23" s="2">
        <v>50</v>
      </c>
      <c r="E23" s="2">
        <v>0.65</v>
      </c>
      <c r="F23" s="2">
        <v>-2.5</v>
      </c>
      <c r="G23" s="2">
        <v>300</v>
      </c>
      <c r="H23" s="2">
        <v>59.8</v>
      </c>
      <c r="I23" s="2">
        <v>37.468000000000004</v>
      </c>
      <c r="J23" s="2">
        <v>300.42399999999998</v>
      </c>
      <c r="K23" s="2">
        <f t="shared" si="0"/>
        <v>0.12471706654594841</v>
      </c>
      <c r="L23" s="2">
        <v>5.4</v>
      </c>
      <c r="M23" s="2">
        <v>8.0510000000000002</v>
      </c>
      <c r="N23" s="2">
        <v>53.384999999999998</v>
      </c>
      <c r="O23" s="2"/>
      <c r="P23" s="2"/>
      <c r="Q23" s="2">
        <v>0.23230000000000001</v>
      </c>
    </row>
    <row r="24" spans="1:17">
      <c r="A24" s="2">
        <v>71</v>
      </c>
      <c r="B24" s="1">
        <v>240</v>
      </c>
      <c r="C24" s="1">
        <v>20</v>
      </c>
      <c r="D24" s="1">
        <v>60</v>
      </c>
      <c r="E24" s="1">
        <v>1.2</v>
      </c>
      <c r="F24" s="1">
        <v>1.5</v>
      </c>
      <c r="G24" s="1">
        <v>300</v>
      </c>
      <c r="H24" s="1">
        <v>21.6</v>
      </c>
      <c r="I24" s="1">
        <v>71.891999999999996</v>
      </c>
      <c r="J24" s="1">
        <v>686.62199999999996</v>
      </c>
      <c r="K24" s="1">
        <f t="shared" si="0"/>
        <v>0.10470389821473824</v>
      </c>
      <c r="L24" s="1">
        <v>5</v>
      </c>
      <c r="M24" s="2">
        <v>9.6630000000000003</v>
      </c>
      <c r="N24" s="2">
        <v>83.474000000000004</v>
      </c>
      <c r="O24" s="2">
        <v>0.88900000000000001</v>
      </c>
      <c r="P24" s="2">
        <v>624.09100000000001</v>
      </c>
      <c r="Q24" s="2">
        <v>0.152</v>
      </c>
    </row>
    <row r="25" spans="1:17">
      <c r="A25" s="2">
        <v>72</v>
      </c>
      <c r="B25" s="1">
        <v>120</v>
      </c>
      <c r="C25" s="1">
        <v>1500</v>
      </c>
      <c r="D25" s="1">
        <v>60</v>
      </c>
      <c r="E25" s="2">
        <v>0.13</v>
      </c>
      <c r="F25" s="1">
        <v>1</v>
      </c>
      <c r="G25" s="1">
        <v>500</v>
      </c>
      <c r="H25" s="2">
        <v>180</v>
      </c>
      <c r="I25" s="1">
        <v>91.614999999999995</v>
      </c>
      <c r="J25" s="1">
        <v>666.11800000000005</v>
      </c>
      <c r="K25" s="2">
        <f t="shared" si="0"/>
        <v>0.13753569187441261</v>
      </c>
      <c r="L25" s="2">
        <v>1.1000000000000001</v>
      </c>
      <c r="M25" s="1">
        <v>22.574999999999999</v>
      </c>
      <c r="N25" s="1">
        <v>114.526</v>
      </c>
      <c r="O25" s="1">
        <v>0.872</v>
      </c>
      <c r="P25" s="1">
        <v>726.09</v>
      </c>
      <c r="Q25" s="1">
        <v>0.23150000000000001</v>
      </c>
    </row>
    <row r="26" spans="1:17">
      <c r="A26" s="1">
        <v>74</v>
      </c>
      <c r="B26" s="2">
        <v>500</v>
      </c>
      <c r="C26" s="2">
        <v>100</v>
      </c>
      <c r="D26" s="2">
        <v>40</v>
      </c>
      <c r="E26" s="2">
        <v>0.8</v>
      </c>
      <c r="F26" s="2">
        <v>-0.5</v>
      </c>
      <c r="G26" s="2">
        <v>300</v>
      </c>
      <c r="H26" s="2">
        <v>80</v>
      </c>
      <c r="I26" s="2">
        <v>36.884</v>
      </c>
      <c r="J26" s="2">
        <v>368.40899999999999</v>
      </c>
      <c r="K26" s="2">
        <f t="shared" si="0"/>
        <v>0.100116989541515</v>
      </c>
      <c r="L26" s="2">
        <v>1.6</v>
      </c>
      <c r="M26" s="1">
        <v>10.193</v>
      </c>
      <c r="N26" s="1">
        <v>48.404000000000003</v>
      </c>
      <c r="O26" s="1"/>
      <c r="P26" s="1"/>
      <c r="Q26" s="1">
        <v>0.26369999999999999</v>
      </c>
    </row>
    <row r="27" spans="1:17">
      <c r="A27" s="1">
        <v>77</v>
      </c>
      <c r="B27" s="1">
        <v>240</v>
      </c>
      <c r="C27" s="1">
        <v>1000</v>
      </c>
      <c r="D27" s="1">
        <v>90</v>
      </c>
      <c r="E27" s="1">
        <v>0.3</v>
      </c>
      <c r="F27" s="1">
        <v>0.5</v>
      </c>
      <c r="G27" s="1">
        <v>500</v>
      </c>
      <c r="H27" s="1">
        <v>269.39999999999998</v>
      </c>
      <c r="I27" s="1">
        <v>55.067</v>
      </c>
      <c r="J27" s="1">
        <v>656.15599999999995</v>
      </c>
      <c r="K27" s="1">
        <f t="shared" si="0"/>
        <v>8.3923640109973857E-2</v>
      </c>
      <c r="L27" s="1">
        <v>1.2</v>
      </c>
      <c r="M27" s="2">
        <v>7.9</v>
      </c>
      <c r="N27" s="2">
        <v>84.74</v>
      </c>
      <c r="O27" s="2"/>
      <c r="P27" s="2">
        <v>652.37199999999996</v>
      </c>
      <c r="Q27" s="2">
        <v>0.18379999999999999</v>
      </c>
    </row>
    <row r="28" spans="1:17">
      <c r="A28" s="2">
        <v>78</v>
      </c>
      <c r="B28" s="1">
        <v>60</v>
      </c>
      <c r="C28" s="1">
        <v>300</v>
      </c>
      <c r="D28" s="1">
        <v>90</v>
      </c>
      <c r="E28" s="2">
        <v>0.6</v>
      </c>
      <c r="F28" s="1">
        <v>1.5</v>
      </c>
      <c r="G28" s="1">
        <v>300</v>
      </c>
      <c r="H28" s="2">
        <v>269.39999999999998</v>
      </c>
      <c r="I28" s="1">
        <v>42.180999999999997</v>
      </c>
      <c r="J28" s="1">
        <v>259.74599999999998</v>
      </c>
      <c r="K28" s="2">
        <f t="shared" si="0"/>
        <v>0.16239326110892949</v>
      </c>
      <c r="L28" s="2">
        <v>10</v>
      </c>
      <c r="M28" s="2">
        <v>4.3959999999999999</v>
      </c>
      <c r="N28" s="2">
        <v>52.761000000000003</v>
      </c>
      <c r="O28" s="2">
        <v>0.83699999999999997</v>
      </c>
      <c r="P28" s="2"/>
      <c r="Q28" s="2">
        <v>0.252</v>
      </c>
    </row>
    <row r="29" spans="1:17">
      <c r="A29" s="2">
        <v>79</v>
      </c>
      <c r="B29" s="2">
        <v>240</v>
      </c>
      <c r="C29" s="2">
        <v>2000</v>
      </c>
      <c r="D29" s="2">
        <v>70</v>
      </c>
      <c r="E29" s="2">
        <v>0.23</v>
      </c>
      <c r="F29" s="2">
        <v>-2</v>
      </c>
      <c r="G29" s="2">
        <v>300</v>
      </c>
      <c r="H29" s="2">
        <v>209.4</v>
      </c>
      <c r="I29" s="2">
        <v>35.64</v>
      </c>
      <c r="J29" s="2">
        <v>608.173</v>
      </c>
      <c r="K29" s="2">
        <f t="shared" si="0"/>
        <v>5.8601746542513398E-2</v>
      </c>
      <c r="L29" s="2">
        <v>1</v>
      </c>
      <c r="M29" s="1">
        <v>5.6239999999999997</v>
      </c>
      <c r="N29" s="1">
        <v>61.323999999999998</v>
      </c>
      <c r="O29" s="1"/>
      <c r="P29" s="1">
        <v>651.90899999999999</v>
      </c>
      <c r="Q29" s="1">
        <v>0.1832</v>
      </c>
    </row>
    <row r="30" spans="1:17">
      <c r="A30" s="1">
        <v>83</v>
      </c>
      <c r="B30" s="1">
        <v>60</v>
      </c>
      <c r="C30" s="1">
        <v>1000</v>
      </c>
      <c r="D30" s="1">
        <v>60</v>
      </c>
      <c r="E30" s="1">
        <v>0.2</v>
      </c>
      <c r="F30" s="1">
        <v>0</v>
      </c>
      <c r="G30" s="1">
        <v>100</v>
      </c>
      <c r="H30" s="1">
        <v>180</v>
      </c>
      <c r="I30" s="1">
        <v>22.295000000000002</v>
      </c>
      <c r="J30" s="1">
        <v>397.17</v>
      </c>
      <c r="K30" s="1">
        <f t="shared" si="0"/>
        <v>5.6134652667623436E-2</v>
      </c>
      <c r="L30" s="1">
        <v>3.3</v>
      </c>
      <c r="M30" s="1">
        <v>4.2919999999999998</v>
      </c>
      <c r="N30" s="1">
        <v>43.421999999999997</v>
      </c>
      <c r="O30" s="1"/>
      <c r="P30" s="1">
        <v>557.18299999999999</v>
      </c>
      <c r="Q30" s="1">
        <v>0.15379999999999999</v>
      </c>
    </row>
    <row r="31" spans="1:17">
      <c r="A31" s="1">
        <v>84</v>
      </c>
      <c r="B31" s="2">
        <v>240</v>
      </c>
      <c r="C31" s="2">
        <v>20</v>
      </c>
      <c r="D31" s="2">
        <v>90</v>
      </c>
      <c r="E31" s="2">
        <v>1.8</v>
      </c>
      <c r="F31" s="2">
        <v>-2</v>
      </c>
      <c r="G31" s="2">
        <v>40</v>
      </c>
      <c r="H31" s="2">
        <v>32.299999999999997</v>
      </c>
      <c r="I31" s="2">
        <v>15.712</v>
      </c>
      <c r="J31" s="2">
        <v>125.59099999999999</v>
      </c>
      <c r="K31" s="2">
        <f t="shared" si="0"/>
        <v>0.12510450589612312</v>
      </c>
      <c r="L31" s="2">
        <v>7.5</v>
      </c>
      <c r="M31" s="2">
        <v>1.1080000000000001</v>
      </c>
      <c r="N31" s="2">
        <v>32.526000000000003</v>
      </c>
      <c r="O31" s="2"/>
      <c r="P31" s="2"/>
      <c r="Q31" s="2">
        <v>0.41620000000000001</v>
      </c>
    </row>
    <row r="32" spans="1:17">
      <c r="A32" s="2">
        <v>85</v>
      </c>
      <c r="B32" s="2">
        <v>240</v>
      </c>
      <c r="C32" s="2">
        <v>100</v>
      </c>
      <c r="D32" s="2">
        <v>90</v>
      </c>
      <c r="E32" s="2">
        <v>1.8</v>
      </c>
      <c r="F32" s="2">
        <v>2</v>
      </c>
      <c r="G32" s="2">
        <v>30</v>
      </c>
      <c r="H32" s="2">
        <v>161.30000000000001</v>
      </c>
      <c r="I32" s="2">
        <v>50.143999999999998</v>
      </c>
      <c r="J32" s="2">
        <v>380.30500000000001</v>
      </c>
      <c r="K32" s="2">
        <f t="shared" si="0"/>
        <v>0.13185206610483691</v>
      </c>
      <c r="L32" s="2">
        <v>7.5</v>
      </c>
      <c r="M32" s="2">
        <v>9.5039999999999996</v>
      </c>
      <c r="N32" s="2">
        <v>86.903999999999996</v>
      </c>
      <c r="O32" s="2"/>
      <c r="P32" s="2"/>
      <c r="Q32" s="2">
        <v>0.28139999999999998</v>
      </c>
    </row>
    <row r="33" spans="1:17">
      <c r="A33" s="2">
        <v>88</v>
      </c>
      <c r="B33" s="2">
        <v>240</v>
      </c>
      <c r="C33" s="2">
        <v>50</v>
      </c>
      <c r="D33" s="2">
        <v>70</v>
      </c>
      <c r="E33" s="1">
        <v>1.4</v>
      </c>
      <c r="F33" s="2">
        <v>2</v>
      </c>
      <c r="G33" s="2">
        <v>35</v>
      </c>
      <c r="H33" s="1">
        <v>62.7</v>
      </c>
      <c r="I33" s="2">
        <v>32.789000000000001</v>
      </c>
      <c r="J33" s="2">
        <v>154.005</v>
      </c>
      <c r="K33" s="1">
        <f t="shared" si="0"/>
        <v>0.21290867179637027</v>
      </c>
      <c r="L33" s="1">
        <v>5.8</v>
      </c>
      <c r="M33" s="1">
        <v>2.0470000000000002</v>
      </c>
      <c r="N33" s="1">
        <v>49.012</v>
      </c>
      <c r="O33" s="1"/>
      <c r="P33" s="1"/>
      <c r="Q33" s="1">
        <v>0.24049999999999999</v>
      </c>
    </row>
    <row r="34" spans="1:17">
      <c r="A34" s="1">
        <v>93</v>
      </c>
      <c r="B34" s="1">
        <v>500</v>
      </c>
      <c r="C34" s="1">
        <v>2000</v>
      </c>
      <c r="D34" s="1">
        <v>90</v>
      </c>
      <c r="E34" s="2">
        <v>0.53</v>
      </c>
      <c r="F34" s="1">
        <v>1.5</v>
      </c>
      <c r="G34" s="1">
        <v>50</v>
      </c>
      <c r="H34" s="2">
        <v>269.39999999999998</v>
      </c>
      <c r="I34" s="1">
        <v>67.494</v>
      </c>
      <c r="J34" s="1">
        <v>792.83</v>
      </c>
      <c r="K34" s="2">
        <f t="shared" si="0"/>
        <v>8.513048194442692E-2</v>
      </c>
      <c r="L34" s="2">
        <v>1.1000000000000001</v>
      </c>
      <c r="M34" s="1">
        <v>10.882</v>
      </c>
      <c r="N34" s="1">
        <v>99.24</v>
      </c>
      <c r="O34" s="1">
        <v>0.89600000000000002</v>
      </c>
      <c r="P34" s="1">
        <v>531.75599999999997</v>
      </c>
      <c r="Q34" s="1">
        <v>0.13689999999999999</v>
      </c>
    </row>
    <row r="35" spans="1:17">
      <c r="A35" s="1">
        <v>97</v>
      </c>
      <c r="B35" s="1">
        <v>60</v>
      </c>
      <c r="C35" s="1">
        <v>1000</v>
      </c>
      <c r="D35" s="1">
        <v>30</v>
      </c>
      <c r="E35" s="2">
        <v>0.1</v>
      </c>
      <c r="F35" s="1">
        <v>1</v>
      </c>
      <c r="G35" s="1">
        <v>300</v>
      </c>
      <c r="H35" s="2">
        <v>89.4</v>
      </c>
      <c r="I35" s="1">
        <v>65.539000000000001</v>
      </c>
      <c r="J35" s="1">
        <v>430.62099999999998</v>
      </c>
      <c r="K35" s="2">
        <f t="shared" si="0"/>
        <v>0.15219647903841199</v>
      </c>
      <c r="L35" s="2">
        <v>1.7</v>
      </c>
      <c r="M35" s="2">
        <v>14.276</v>
      </c>
      <c r="N35" s="2">
        <v>93.061000000000007</v>
      </c>
      <c r="O35" s="2">
        <v>0.92100000000000004</v>
      </c>
      <c r="P35" s="2">
        <v>563.86199999999997</v>
      </c>
      <c r="Q35" s="2">
        <v>0.1681</v>
      </c>
    </row>
    <row r="36" spans="1:17">
      <c r="A36" s="2">
        <v>98</v>
      </c>
      <c r="B36" s="1">
        <v>120</v>
      </c>
      <c r="C36" s="1">
        <v>20</v>
      </c>
      <c r="D36" s="1">
        <v>40</v>
      </c>
      <c r="E36" s="1">
        <v>0.52</v>
      </c>
      <c r="F36" s="1">
        <v>1</v>
      </c>
      <c r="G36" s="1">
        <v>500</v>
      </c>
      <c r="H36" s="1">
        <v>9.6</v>
      </c>
      <c r="I36" s="1">
        <v>30.282</v>
      </c>
      <c r="J36" s="1">
        <v>244.55</v>
      </c>
      <c r="K36" s="1">
        <f t="shared" si="0"/>
        <v>0.12382743815170721</v>
      </c>
      <c r="L36" s="1">
        <v>4.3</v>
      </c>
      <c r="M36" s="2">
        <v>3.5049999999999999</v>
      </c>
      <c r="N36" s="2">
        <v>53.555</v>
      </c>
      <c r="O36" s="2">
        <v>0.64</v>
      </c>
      <c r="P36" s="2"/>
      <c r="Q36" s="2">
        <v>0.20880000000000001</v>
      </c>
    </row>
    <row r="37" spans="1:17">
      <c r="A37" s="2">
        <v>99</v>
      </c>
      <c r="B37" s="1">
        <v>500</v>
      </c>
      <c r="C37" s="1">
        <v>100</v>
      </c>
      <c r="D37" s="1">
        <v>50</v>
      </c>
      <c r="E37" s="2">
        <v>1</v>
      </c>
      <c r="F37" s="1">
        <v>1.5</v>
      </c>
      <c r="G37" s="1">
        <v>50</v>
      </c>
      <c r="H37" s="2">
        <v>99.6</v>
      </c>
      <c r="I37" s="1">
        <v>7.5910000000000002</v>
      </c>
      <c r="J37" s="1">
        <v>231.93</v>
      </c>
      <c r="K37" s="2">
        <f t="shared" si="0"/>
        <v>3.2729702927607469E-2</v>
      </c>
      <c r="L37" s="2">
        <v>2</v>
      </c>
      <c r="M37" s="1">
        <v>2.2210000000000001</v>
      </c>
      <c r="N37" s="1">
        <v>19.396999999999998</v>
      </c>
      <c r="O37" s="1">
        <v>0.65200000000000002</v>
      </c>
      <c r="P37" s="1"/>
      <c r="Q37" s="1">
        <v>0.18759999999999999</v>
      </c>
    </row>
    <row r="38" spans="1:17">
      <c r="A38" s="1">
        <v>100</v>
      </c>
      <c r="B38" s="1">
        <v>120</v>
      </c>
      <c r="C38" s="1">
        <v>20</v>
      </c>
      <c r="D38" s="1">
        <v>80</v>
      </c>
      <c r="E38" s="2">
        <v>1.04</v>
      </c>
      <c r="F38" s="1">
        <v>0</v>
      </c>
      <c r="G38" s="1">
        <v>100</v>
      </c>
      <c r="H38" s="2">
        <v>19.2</v>
      </c>
      <c r="I38" s="1">
        <v>26.257999999999999</v>
      </c>
      <c r="J38" s="1">
        <v>74.697999999999993</v>
      </c>
      <c r="K38" s="2">
        <f t="shared" si="0"/>
        <v>0.35152212910653569</v>
      </c>
      <c r="L38" s="2">
        <v>8.6999999999999993</v>
      </c>
      <c r="M38" s="3">
        <v>3.7389999999999999</v>
      </c>
      <c r="N38" s="3">
        <v>32.581000000000003</v>
      </c>
      <c r="O38" s="3"/>
      <c r="P38" s="3"/>
      <c r="Q38" s="3">
        <v>0.53669999999999995</v>
      </c>
    </row>
    <row r="39" spans="1:17">
      <c r="A39" s="1">
        <v>103</v>
      </c>
      <c r="B39" s="1">
        <v>60</v>
      </c>
      <c r="C39" s="1">
        <v>100</v>
      </c>
      <c r="D39" s="1">
        <v>90</v>
      </c>
      <c r="E39" s="1">
        <v>0.66</v>
      </c>
      <c r="F39" s="1">
        <v>1</v>
      </c>
      <c r="G39" s="1">
        <v>100</v>
      </c>
      <c r="H39" s="1">
        <v>59.9</v>
      </c>
      <c r="I39" s="1">
        <v>15.201000000000001</v>
      </c>
      <c r="J39" s="1">
        <v>184.61799999999999</v>
      </c>
      <c r="K39" s="1">
        <f t="shared" si="0"/>
        <v>8.2337583550899707E-2</v>
      </c>
      <c r="L39" s="1">
        <v>11.1</v>
      </c>
      <c r="M39" s="3">
        <v>1.55</v>
      </c>
      <c r="N39" s="3">
        <v>28.591999999999999</v>
      </c>
      <c r="O39" s="3">
        <v>0.94799999999999995</v>
      </c>
      <c r="P39" s="3"/>
      <c r="Q39" s="3">
        <v>0.27979999999999999</v>
      </c>
    </row>
    <row r="40" spans="1:17">
      <c r="A40" s="2">
        <v>105</v>
      </c>
      <c r="B40" s="1">
        <v>60</v>
      </c>
      <c r="C40" s="1">
        <v>2000</v>
      </c>
      <c r="D40" s="1">
        <v>80</v>
      </c>
      <c r="E40" s="2">
        <v>0.13</v>
      </c>
      <c r="F40" s="1">
        <v>-2</v>
      </c>
      <c r="G40" s="1">
        <v>500</v>
      </c>
      <c r="H40" s="2">
        <v>240</v>
      </c>
      <c r="I40" s="1">
        <v>48.779000000000003</v>
      </c>
      <c r="J40" s="1">
        <v>769.98400000000004</v>
      </c>
      <c r="K40" s="2">
        <f t="shared" si="0"/>
        <v>6.3350667026847315E-2</v>
      </c>
      <c r="L40" s="2">
        <v>2.2000000000000002</v>
      </c>
      <c r="M40" s="3">
        <v>10.644</v>
      </c>
      <c r="N40" s="3">
        <v>94.650999999999996</v>
      </c>
      <c r="O40" s="3">
        <v>0.81200000000000006</v>
      </c>
      <c r="P40" s="3"/>
      <c r="Q40" s="3">
        <v>0.29220000000000002</v>
      </c>
    </row>
    <row r="41" spans="1:17">
      <c r="A41" s="2">
        <v>106</v>
      </c>
      <c r="B41" s="1">
        <v>240</v>
      </c>
      <c r="C41" s="1">
        <v>500</v>
      </c>
      <c r="D41" s="1">
        <v>50</v>
      </c>
      <c r="E41" s="2">
        <v>0.33</v>
      </c>
      <c r="F41" s="1">
        <v>2.5</v>
      </c>
      <c r="G41" s="1">
        <v>120</v>
      </c>
      <c r="H41" s="2">
        <v>149.4</v>
      </c>
      <c r="I41" s="1">
        <v>18.427</v>
      </c>
      <c r="J41" s="1">
        <v>435.41300000000001</v>
      </c>
      <c r="K41" s="2">
        <f t="shared" si="0"/>
        <v>4.2320739160291491E-2</v>
      </c>
      <c r="L41" s="2">
        <v>1.4</v>
      </c>
      <c r="M41" s="3">
        <v>4.8650000000000002</v>
      </c>
      <c r="N41" s="3">
        <v>33.706000000000003</v>
      </c>
      <c r="O41" s="3">
        <v>0.76</v>
      </c>
      <c r="P41" s="3"/>
      <c r="Q41" s="3">
        <v>0.42209999999999998</v>
      </c>
    </row>
    <row r="42" spans="1:17">
      <c r="A42" s="1">
        <v>110</v>
      </c>
      <c r="B42" s="1">
        <v>120</v>
      </c>
      <c r="C42" s="1">
        <v>100</v>
      </c>
      <c r="D42" s="1">
        <v>90</v>
      </c>
      <c r="E42" s="1">
        <v>1.17</v>
      </c>
      <c r="F42" s="1">
        <v>-1</v>
      </c>
      <c r="G42" s="1">
        <v>500</v>
      </c>
      <c r="H42" s="1">
        <v>107.8</v>
      </c>
      <c r="I42" s="1">
        <v>70.847999999999999</v>
      </c>
      <c r="J42" s="1">
        <v>427.88799999999998</v>
      </c>
      <c r="K42" s="1">
        <f t="shared" si="0"/>
        <v>0.16557603858953746</v>
      </c>
      <c r="L42" s="1">
        <v>9.6999999999999993</v>
      </c>
      <c r="M42" s="3">
        <v>22.308</v>
      </c>
      <c r="N42" s="3">
        <v>91.466999999999999</v>
      </c>
      <c r="O42" s="3">
        <v>0.73099999999999998</v>
      </c>
      <c r="P42" s="3"/>
      <c r="Q42" s="3">
        <v>0.55589999999999995</v>
      </c>
    </row>
    <row r="43" spans="1:17">
      <c r="A43" s="1">
        <v>111</v>
      </c>
      <c r="B43" s="1">
        <v>120</v>
      </c>
      <c r="C43" s="1">
        <v>500</v>
      </c>
      <c r="D43" s="1">
        <v>70</v>
      </c>
      <c r="E43" s="2">
        <v>0.45</v>
      </c>
      <c r="F43" s="1">
        <v>-1</v>
      </c>
      <c r="G43" s="1">
        <v>150</v>
      </c>
      <c r="H43" s="2">
        <v>209.4</v>
      </c>
      <c r="I43" s="1">
        <v>36.034999999999997</v>
      </c>
      <c r="J43" s="1">
        <v>457.47399999999999</v>
      </c>
      <c r="K43" s="2">
        <f t="shared" si="0"/>
        <v>7.8769503840655425E-2</v>
      </c>
      <c r="L43" s="2">
        <v>3.8</v>
      </c>
      <c r="M43" s="3">
        <v>6.4139999999999997</v>
      </c>
      <c r="N43" s="3">
        <v>46.768999999999998</v>
      </c>
      <c r="O43" s="3">
        <v>0.68799999999999994</v>
      </c>
      <c r="P43" s="3"/>
      <c r="Q43" s="3">
        <v>0.27310000000000001</v>
      </c>
    </row>
    <row r="44" spans="1:17">
      <c r="A44" s="2">
        <v>114</v>
      </c>
      <c r="B44" s="1">
        <v>60</v>
      </c>
      <c r="C44" s="1">
        <v>1500</v>
      </c>
      <c r="D44" s="1">
        <v>60</v>
      </c>
      <c r="E44" s="2">
        <v>0.13</v>
      </c>
      <c r="F44" s="1">
        <v>1.5</v>
      </c>
      <c r="G44" s="1">
        <v>150</v>
      </c>
      <c r="H44" s="2">
        <v>180</v>
      </c>
      <c r="I44" s="1">
        <v>32.930999999999997</v>
      </c>
      <c r="J44" s="1">
        <v>448.08199999999999</v>
      </c>
      <c r="K44" s="2">
        <f t="shared" si="0"/>
        <v>7.3493244540061856E-2</v>
      </c>
      <c r="L44" s="2">
        <v>2.2000000000000002</v>
      </c>
      <c r="M44" s="3">
        <v>6.9950000000000001</v>
      </c>
      <c r="N44" s="3">
        <v>49.079000000000001</v>
      </c>
      <c r="O44" s="3">
        <v>0.89200000000000002</v>
      </c>
      <c r="P44" s="3"/>
      <c r="Q44" s="3">
        <v>0.20660000000000001</v>
      </c>
    </row>
    <row r="45" spans="1:17">
      <c r="A45" s="2">
        <v>118</v>
      </c>
      <c r="B45" s="1">
        <v>500</v>
      </c>
      <c r="C45" s="1">
        <v>1500</v>
      </c>
      <c r="D45" s="1">
        <v>80</v>
      </c>
      <c r="E45" s="1">
        <v>0.48</v>
      </c>
      <c r="F45" s="1">
        <v>0.5</v>
      </c>
      <c r="G45" s="1">
        <v>500</v>
      </c>
      <c r="H45" s="1">
        <v>240</v>
      </c>
      <c r="I45" s="1">
        <v>47.725000000000001</v>
      </c>
      <c r="J45" s="1">
        <v>768.05600000000004</v>
      </c>
      <c r="K45" s="1">
        <f t="shared" si="0"/>
        <v>6.2137396231524783E-2</v>
      </c>
      <c r="L45" s="1">
        <v>1</v>
      </c>
      <c r="M45" s="3">
        <v>6.8869999999999996</v>
      </c>
      <c r="N45" s="3">
        <v>82.007999999999996</v>
      </c>
      <c r="O45" s="3">
        <v>0.78500000000000003</v>
      </c>
      <c r="P45" s="3">
        <v>548.61900000000003</v>
      </c>
      <c r="Q45" s="3">
        <v>0.1396</v>
      </c>
    </row>
    <row r="46" spans="1:17">
      <c r="A46" s="1">
        <v>119</v>
      </c>
      <c r="B46" s="1">
        <v>60</v>
      </c>
      <c r="C46" s="1">
        <v>2000</v>
      </c>
      <c r="D46" s="1">
        <v>60</v>
      </c>
      <c r="E46" s="2">
        <v>0.1</v>
      </c>
      <c r="F46" s="1">
        <v>0.5</v>
      </c>
      <c r="G46" s="1">
        <v>150</v>
      </c>
      <c r="H46" s="2">
        <v>180</v>
      </c>
      <c r="I46" s="1">
        <v>27.157</v>
      </c>
      <c r="J46" s="1">
        <v>488.08499999999998</v>
      </c>
      <c r="K46" s="2">
        <f t="shared" si="0"/>
        <v>5.5639898788120923E-2</v>
      </c>
      <c r="L46" s="2">
        <v>1.7</v>
      </c>
      <c r="M46" s="3">
        <v>6.4989999999999997</v>
      </c>
      <c r="N46" s="3">
        <v>49.744</v>
      </c>
      <c r="O46" s="3">
        <v>0.81899999999999995</v>
      </c>
      <c r="P46" s="3"/>
      <c r="Q46" s="3">
        <v>0.2752</v>
      </c>
    </row>
    <row r="47" spans="1:17">
      <c r="A47" s="1">
        <v>123</v>
      </c>
      <c r="B47" s="1">
        <v>500</v>
      </c>
      <c r="C47" s="1">
        <v>1000</v>
      </c>
      <c r="D47" s="1">
        <v>70</v>
      </c>
      <c r="E47" s="2">
        <v>0.41</v>
      </c>
      <c r="F47" s="1">
        <v>1</v>
      </c>
      <c r="G47" s="1">
        <v>150</v>
      </c>
      <c r="H47" s="2">
        <v>209.4</v>
      </c>
      <c r="I47" s="1">
        <v>38.783000000000001</v>
      </c>
      <c r="J47" s="1">
        <v>478.86599999999999</v>
      </c>
      <c r="K47" s="2">
        <f t="shared" si="0"/>
        <v>8.0989253778718892E-2</v>
      </c>
      <c r="L47" s="2">
        <v>0.8</v>
      </c>
      <c r="M47" s="3">
        <v>8.3469999999999995</v>
      </c>
      <c r="N47" s="3">
        <v>60.356000000000002</v>
      </c>
      <c r="O47" s="3">
        <v>0.84099999999999997</v>
      </c>
      <c r="P47" s="3"/>
      <c r="Q47" s="3">
        <v>0.14549999999999999</v>
      </c>
    </row>
    <row r="48" spans="1:17">
      <c r="A48" s="2">
        <v>124</v>
      </c>
      <c r="B48" s="1">
        <v>120</v>
      </c>
      <c r="C48" s="1">
        <v>20</v>
      </c>
      <c r="D48" s="1">
        <v>80</v>
      </c>
      <c r="E48" s="1">
        <v>1.04</v>
      </c>
      <c r="F48" s="1">
        <v>1.5</v>
      </c>
      <c r="G48" s="1">
        <v>100</v>
      </c>
      <c r="H48" s="1">
        <v>19.2</v>
      </c>
      <c r="I48" s="1">
        <v>31.053000000000001</v>
      </c>
      <c r="J48" s="1">
        <v>429.048</v>
      </c>
      <c r="K48" s="1">
        <f t="shared" si="0"/>
        <v>7.2376517312748231E-2</v>
      </c>
      <c r="L48" s="1">
        <v>8.6999999999999993</v>
      </c>
      <c r="M48" s="3">
        <v>4.8959999999999999</v>
      </c>
      <c r="N48" s="3">
        <v>43.881</v>
      </c>
      <c r="O48" s="3">
        <v>0.86099999999999999</v>
      </c>
      <c r="P48" s="3"/>
      <c r="Q48" s="3">
        <v>0.4325</v>
      </c>
    </row>
    <row r="49" spans="1:17">
      <c r="A49" s="2">
        <v>125</v>
      </c>
      <c r="B49" s="1">
        <v>240</v>
      </c>
      <c r="C49" s="1">
        <v>1500</v>
      </c>
      <c r="D49" s="1">
        <v>60</v>
      </c>
      <c r="E49" s="2">
        <v>0.2</v>
      </c>
      <c r="F49" s="1">
        <v>1.5</v>
      </c>
      <c r="G49" s="1">
        <v>100</v>
      </c>
      <c r="H49" s="2">
        <v>180</v>
      </c>
      <c r="I49" s="1">
        <v>30.387</v>
      </c>
      <c r="J49" s="1">
        <v>416.44799999999998</v>
      </c>
      <c r="K49" s="2">
        <f t="shared" si="0"/>
        <v>7.2967093130474878E-2</v>
      </c>
      <c r="L49" s="2">
        <v>0.8</v>
      </c>
      <c r="M49" s="3">
        <v>5.944</v>
      </c>
      <c r="N49" s="3">
        <v>45.302</v>
      </c>
      <c r="O49" s="3">
        <v>0.8</v>
      </c>
      <c r="P49" s="3"/>
      <c r="Q49" s="3">
        <v>0.16869999999999999</v>
      </c>
    </row>
    <row r="50" spans="1:17">
      <c r="A50" s="1">
        <v>129</v>
      </c>
      <c r="B50" s="1">
        <v>60</v>
      </c>
      <c r="C50" s="1">
        <v>100</v>
      </c>
      <c r="D50" s="1">
        <v>70</v>
      </c>
      <c r="E50" s="2">
        <v>0.52</v>
      </c>
      <c r="F50" s="1">
        <v>-0.5</v>
      </c>
      <c r="G50" s="1">
        <v>500</v>
      </c>
      <c r="H50" s="2">
        <v>46.5</v>
      </c>
      <c r="I50" s="1">
        <v>50.484000000000002</v>
      </c>
      <c r="J50" s="1">
        <v>214.06399999999999</v>
      </c>
      <c r="K50" s="2">
        <f t="shared" si="0"/>
        <v>0.23583601166006429</v>
      </c>
      <c r="L50" s="2">
        <v>8.6</v>
      </c>
      <c r="M50" s="3">
        <v>5.1630000000000003</v>
      </c>
      <c r="N50" s="3">
        <v>0.70399999999999996</v>
      </c>
      <c r="O50" s="3">
        <v>0.79900000000000004</v>
      </c>
      <c r="P50" s="3"/>
      <c r="Q50" s="3">
        <v>0.33389999999999997</v>
      </c>
    </row>
    <row r="51" spans="1:17">
      <c r="A51" s="1">
        <v>131</v>
      </c>
      <c r="B51" s="1">
        <v>60</v>
      </c>
      <c r="C51" s="1">
        <v>1500</v>
      </c>
      <c r="D51" s="1">
        <v>60</v>
      </c>
      <c r="E51" s="1">
        <v>0.13</v>
      </c>
      <c r="F51" s="1">
        <v>-1</v>
      </c>
      <c r="G51" s="1">
        <v>120</v>
      </c>
      <c r="H51" s="1">
        <v>180</v>
      </c>
      <c r="I51" s="1">
        <v>22.1</v>
      </c>
      <c r="J51" s="1">
        <v>290.36900000000003</v>
      </c>
      <c r="K51" s="1">
        <f t="shared" si="0"/>
        <v>7.6110053070403513E-2</v>
      </c>
      <c r="L51" s="1">
        <v>2.2000000000000002</v>
      </c>
      <c r="M51" s="3">
        <v>4.5629999999999997</v>
      </c>
      <c r="N51" s="3">
        <v>35.548000000000002</v>
      </c>
      <c r="O51" s="3">
        <v>0.83399999999999996</v>
      </c>
      <c r="P51" s="3"/>
      <c r="Q51" s="3">
        <v>0.1615</v>
      </c>
    </row>
    <row r="52" spans="1:17">
      <c r="A52" s="2">
        <v>136</v>
      </c>
      <c r="B52" s="1">
        <v>500</v>
      </c>
      <c r="C52" s="1">
        <v>50</v>
      </c>
      <c r="D52" s="1">
        <v>60</v>
      </c>
      <c r="E52" s="2">
        <v>1.2</v>
      </c>
      <c r="F52" s="1">
        <v>0</v>
      </c>
      <c r="G52" s="1">
        <v>100</v>
      </c>
      <c r="H52" s="2">
        <v>60</v>
      </c>
      <c r="I52" s="1">
        <v>18.117000000000001</v>
      </c>
      <c r="J52" s="1">
        <v>167.666</v>
      </c>
      <c r="K52" s="2">
        <f t="shared" si="0"/>
        <v>0.10805410757100427</v>
      </c>
      <c r="L52" s="2">
        <v>2.4</v>
      </c>
      <c r="M52" s="3">
        <v>1.9319999999999999</v>
      </c>
      <c r="N52" s="3">
        <v>26.565999999999999</v>
      </c>
      <c r="O52" s="3">
        <v>0.70899999999999996</v>
      </c>
      <c r="P52" s="3"/>
      <c r="Q52" s="3">
        <v>0.1784</v>
      </c>
    </row>
    <row r="53" spans="1:17">
      <c r="A53" s="1">
        <v>138</v>
      </c>
      <c r="B53" s="1">
        <v>500</v>
      </c>
      <c r="C53" s="1">
        <v>50</v>
      </c>
      <c r="D53" s="1">
        <v>50</v>
      </c>
      <c r="E53" s="1">
        <v>1</v>
      </c>
      <c r="F53" s="1">
        <v>-2</v>
      </c>
      <c r="G53" s="1">
        <v>300</v>
      </c>
      <c r="H53" s="1">
        <v>49.8</v>
      </c>
      <c r="I53" s="1">
        <v>32.076000000000001</v>
      </c>
      <c r="J53" s="1">
        <v>248.37899999999999</v>
      </c>
      <c r="K53" s="1">
        <f t="shared" si="0"/>
        <v>0.12914135252980324</v>
      </c>
      <c r="L53" s="1">
        <v>2</v>
      </c>
      <c r="M53" s="3">
        <v>5.133</v>
      </c>
      <c r="N53" s="3">
        <v>42.531999999999996</v>
      </c>
      <c r="O53" s="3">
        <v>0.73199999999999998</v>
      </c>
      <c r="P53" s="3"/>
      <c r="Q53" s="3">
        <v>0.3488</v>
      </c>
    </row>
    <row r="54" spans="1:17">
      <c r="A54" s="1">
        <v>143</v>
      </c>
      <c r="B54" s="1">
        <v>120</v>
      </c>
      <c r="C54" s="1">
        <v>300</v>
      </c>
      <c r="D54" s="1">
        <v>60</v>
      </c>
      <c r="E54" s="2">
        <v>0.39</v>
      </c>
      <c r="F54" s="1">
        <v>2</v>
      </c>
      <c r="G54" s="1">
        <v>500</v>
      </c>
      <c r="H54" s="2">
        <v>180</v>
      </c>
      <c r="I54" s="1">
        <v>124.227</v>
      </c>
      <c r="J54" s="1">
        <v>664.02800000000002</v>
      </c>
      <c r="K54" s="2">
        <f t="shared" si="0"/>
        <v>0.18708096646526953</v>
      </c>
      <c r="L54" s="2">
        <v>3.3</v>
      </c>
      <c r="M54" s="3">
        <v>27.596</v>
      </c>
      <c r="N54" s="3">
        <v>185.41200000000001</v>
      </c>
      <c r="O54" s="3">
        <v>0.84399999999999997</v>
      </c>
      <c r="P54" s="3"/>
      <c r="Q54" s="3">
        <v>0.4279</v>
      </c>
    </row>
    <row r="55" spans="1:17">
      <c r="A55" s="2">
        <v>146</v>
      </c>
      <c r="B55" s="1">
        <v>60</v>
      </c>
      <c r="C55" s="1">
        <v>100</v>
      </c>
      <c r="D55" s="1">
        <v>80</v>
      </c>
      <c r="E55" s="2">
        <v>0.59</v>
      </c>
      <c r="F55" s="1">
        <v>0</v>
      </c>
      <c r="G55" s="1">
        <v>500</v>
      </c>
      <c r="H55" s="2">
        <v>53.3</v>
      </c>
      <c r="I55" s="1">
        <v>63.341000000000001</v>
      </c>
      <c r="J55" s="1">
        <v>243.95599999999999</v>
      </c>
      <c r="K55" s="2">
        <f t="shared" si="0"/>
        <v>0.25964108281821313</v>
      </c>
      <c r="L55" s="2">
        <v>9.9</v>
      </c>
      <c r="M55" s="3">
        <v>8.5969999999999995</v>
      </c>
      <c r="N55" s="3">
        <v>76.644999999999996</v>
      </c>
      <c r="O55" s="3">
        <v>0.81899999999999995</v>
      </c>
      <c r="P55" s="3"/>
      <c r="Q55" s="3">
        <v>0.2596</v>
      </c>
    </row>
    <row r="56" spans="1:17">
      <c r="A56" s="2">
        <v>148</v>
      </c>
      <c r="B56" s="1">
        <v>500</v>
      </c>
      <c r="C56" s="1">
        <v>1000</v>
      </c>
      <c r="D56" s="1">
        <v>90</v>
      </c>
      <c r="E56" s="1">
        <v>0.53</v>
      </c>
      <c r="F56" s="1">
        <v>1.5</v>
      </c>
      <c r="G56" s="1">
        <v>300</v>
      </c>
      <c r="H56" s="1">
        <v>269.39999999999998</v>
      </c>
      <c r="I56" s="1">
        <v>58.84</v>
      </c>
      <c r="J56" s="1">
        <v>610.76499999999999</v>
      </c>
      <c r="K56" s="1">
        <f t="shared" si="0"/>
        <v>9.633819881623866E-2</v>
      </c>
      <c r="L56" s="1">
        <v>1.1000000000000001</v>
      </c>
      <c r="M56" s="3">
        <v>10.282</v>
      </c>
      <c r="N56" s="3">
        <v>101.65600000000001</v>
      </c>
      <c r="O56" s="3">
        <v>0.86399999999999999</v>
      </c>
      <c r="P56" s="3"/>
      <c r="Q56" s="3">
        <v>0.22689999999999999</v>
      </c>
    </row>
    <row r="57" spans="1:17">
      <c r="A57" s="1">
        <v>149</v>
      </c>
      <c r="B57" s="1">
        <v>60</v>
      </c>
      <c r="C57" s="1">
        <v>300</v>
      </c>
      <c r="D57" s="1">
        <v>70</v>
      </c>
      <c r="E57" s="2">
        <v>0.47</v>
      </c>
      <c r="F57" s="1">
        <v>2.5</v>
      </c>
      <c r="G57" s="1">
        <v>100</v>
      </c>
      <c r="H57" s="2">
        <v>209.4</v>
      </c>
      <c r="I57" s="1">
        <v>33.957999999999998</v>
      </c>
      <c r="J57" s="1">
        <v>235.15899999999999</v>
      </c>
      <c r="K57" s="2">
        <f t="shared" si="0"/>
        <v>0.14440442424062017</v>
      </c>
      <c r="L57" s="2">
        <v>7.7</v>
      </c>
      <c r="M57" s="3">
        <v>4.4710000000000001</v>
      </c>
      <c r="N57" s="3">
        <v>45.808</v>
      </c>
      <c r="O57" s="3">
        <v>0.82099999999999995</v>
      </c>
      <c r="P57" s="3"/>
      <c r="Q57" s="3">
        <v>0.34379999999999999</v>
      </c>
    </row>
    <row r="58" spans="1:17">
      <c r="A58" s="1">
        <v>151</v>
      </c>
      <c r="B58" s="1">
        <v>120</v>
      </c>
      <c r="C58" s="1">
        <v>1000</v>
      </c>
      <c r="D58" s="1">
        <v>60</v>
      </c>
      <c r="E58" s="2">
        <v>0.2</v>
      </c>
      <c r="F58" s="1">
        <v>2</v>
      </c>
      <c r="G58" s="1">
        <v>100</v>
      </c>
      <c r="H58" s="2">
        <v>180</v>
      </c>
      <c r="I58" s="1">
        <v>27.689</v>
      </c>
      <c r="J58" s="1">
        <v>369.67</v>
      </c>
      <c r="K58" s="2">
        <f t="shared" si="0"/>
        <v>7.4901939567722564E-2</v>
      </c>
      <c r="L58" s="2">
        <v>1.6</v>
      </c>
      <c r="M58" s="3">
        <v>5.3</v>
      </c>
      <c r="N58" s="3">
        <v>31.661999999999999</v>
      </c>
      <c r="O58" s="3">
        <v>0.59</v>
      </c>
      <c r="P58" s="3"/>
      <c r="Q58" s="3">
        <v>0.2268</v>
      </c>
    </row>
    <row r="59" spans="1:17">
      <c r="A59" s="2">
        <v>153</v>
      </c>
      <c r="B59" s="1">
        <v>240</v>
      </c>
      <c r="C59" s="1">
        <v>1000</v>
      </c>
      <c r="D59" s="1">
        <v>80</v>
      </c>
      <c r="E59" s="1">
        <v>0.27</v>
      </c>
      <c r="F59" s="1">
        <v>0.5</v>
      </c>
      <c r="G59" s="1">
        <v>150</v>
      </c>
      <c r="H59" s="1">
        <v>240</v>
      </c>
      <c r="I59" s="1">
        <v>37.542000000000002</v>
      </c>
      <c r="J59" s="1">
        <v>381.20400000000001</v>
      </c>
      <c r="K59" s="1">
        <f t="shared" si="0"/>
        <v>9.848270217521328E-2</v>
      </c>
      <c r="L59" s="1">
        <v>1.1000000000000001</v>
      </c>
      <c r="M59" s="3">
        <v>7.468</v>
      </c>
      <c r="N59" s="3">
        <v>50.765999999999998</v>
      </c>
      <c r="O59" s="3">
        <v>0.56799999999999995</v>
      </c>
      <c r="P59" s="3"/>
      <c r="Q59" s="3">
        <v>0.28570000000000001</v>
      </c>
    </row>
    <row r="60" spans="1:17">
      <c r="A60" s="2">
        <v>157</v>
      </c>
      <c r="B60" s="1">
        <v>60</v>
      </c>
      <c r="C60" s="1">
        <v>1500</v>
      </c>
      <c r="D60" s="1">
        <v>90</v>
      </c>
      <c r="E60" s="2">
        <v>0.2</v>
      </c>
      <c r="F60" s="1">
        <v>-0.5</v>
      </c>
      <c r="G60" s="1">
        <v>300</v>
      </c>
      <c r="H60" s="2">
        <v>269.39999999999998</v>
      </c>
      <c r="I60" s="1">
        <v>38.228000000000002</v>
      </c>
      <c r="J60" s="1">
        <v>628.01499999999999</v>
      </c>
      <c r="K60" s="2">
        <f t="shared" si="0"/>
        <v>6.0871157536046119E-2</v>
      </c>
      <c r="L60" s="2">
        <v>3.3</v>
      </c>
      <c r="M60" s="3">
        <v>6.7839999999999998</v>
      </c>
      <c r="N60" s="3">
        <v>77.028999999999996</v>
      </c>
      <c r="O60" s="3">
        <v>0.93200000000000005</v>
      </c>
      <c r="P60" s="3"/>
      <c r="Q60" s="3">
        <v>0.2868</v>
      </c>
    </row>
    <row r="61" spans="1:17">
      <c r="A61" s="1">
        <v>158</v>
      </c>
      <c r="B61" s="1">
        <v>240</v>
      </c>
      <c r="C61" s="1">
        <v>50</v>
      </c>
      <c r="D61" s="1">
        <v>80</v>
      </c>
      <c r="E61" s="2">
        <v>1.6</v>
      </c>
      <c r="F61" s="1">
        <v>2.5</v>
      </c>
      <c r="G61" s="1">
        <v>150</v>
      </c>
      <c r="H61" s="2">
        <v>71.900000000000006</v>
      </c>
      <c r="I61" s="1">
        <v>60.860999999999997</v>
      </c>
      <c r="J61" s="1">
        <v>583.697</v>
      </c>
      <c r="K61" s="2">
        <f t="shared" si="0"/>
        <v>0.10426813912012568</v>
      </c>
      <c r="L61" s="2">
        <v>6.7</v>
      </c>
      <c r="M61" s="3">
        <v>13.8</v>
      </c>
      <c r="N61" s="3">
        <v>84.388999999999996</v>
      </c>
      <c r="O61" s="3">
        <v>0.80400000000000005</v>
      </c>
      <c r="P61" s="3"/>
      <c r="Q61" s="3">
        <v>0.36699999999999999</v>
      </c>
    </row>
    <row r="62" spans="1:17">
      <c r="A62" s="1">
        <v>159</v>
      </c>
      <c r="B62" s="1">
        <v>60</v>
      </c>
      <c r="C62" s="1">
        <v>100</v>
      </c>
      <c r="D62" s="1">
        <v>90</v>
      </c>
      <c r="E62" s="1">
        <v>0.66</v>
      </c>
      <c r="F62" s="1">
        <v>1.5</v>
      </c>
      <c r="G62" s="1">
        <v>120</v>
      </c>
      <c r="H62" s="1">
        <v>59.9</v>
      </c>
      <c r="I62" s="1">
        <v>24.988</v>
      </c>
      <c r="J62" s="1">
        <v>215.16</v>
      </c>
      <c r="K62" s="1">
        <f t="shared" si="0"/>
        <v>0.11613682840676706</v>
      </c>
      <c r="L62" s="1">
        <v>11.1</v>
      </c>
      <c r="M62" s="3">
        <v>2.2360000000000002</v>
      </c>
      <c r="N62" s="3">
        <v>39.682000000000002</v>
      </c>
      <c r="O62" s="3">
        <v>0.68700000000000006</v>
      </c>
      <c r="P62" s="3"/>
      <c r="Q62" s="3">
        <v>0.27060000000000001</v>
      </c>
    </row>
    <row r="63" spans="1:17">
      <c r="A63" s="2">
        <v>161</v>
      </c>
      <c r="B63" s="1">
        <v>60</v>
      </c>
      <c r="C63" s="1">
        <v>500</v>
      </c>
      <c r="D63" s="1">
        <v>90</v>
      </c>
      <c r="E63" s="2">
        <v>0.6</v>
      </c>
      <c r="F63" s="1">
        <v>0</v>
      </c>
      <c r="G63" s="1">
        <v>500</v>
      </c>
      <c r="H63" s="2">
        <v>269.39999999999998</v>
      </c>
      <c r="I63" s="1">
        <v>36.42</v>
      </c>
      <c r="J63" s="1">
        <v>747.93</v>
      </c>
      <c r="K63" s="2">
        <f t="shared" si="0"/>
        <v>4.8694396534435046E-2</v>
      </c>
      <c r="L63" s="2">
        <v>10</v>
      </c>
      <c r="M63" s="3">
        <v>9.2260000000000009</v>
      </c>
      <c r="N63" s="3">
        <v>66.572000000000003</v>
      </c>
      <c r="O63" s="3">
        <v>0.77100000000000002</v>
      </c>
      <c r="P63" s="3"/>
      <c r="Q63" s="3">
        <v>0.29859999999999998</v>
      </c>
    </row>
    <row r="64" spans="1:17">
      <c r="A64" s="2">
        <v>162</v>
      </c>
      <c r="B64" s="1">
        <v>120</v>
      </c>
      <c r="C64" s="1">
        <v>2000</v>
      </c>
      <c r="D64" s="1">
        <v>60</v>
      </c>
      <c r="E64" s="2">
        <v>0.1</v>
      </c>
      <c r="F64" s="1">
        <v>2.5</v>
      </c>
      <c r="G64" s="1">
        <v>300</v>
      </c>
      <c r="H64" s="2">
        <v>180</v>
      </c>
      <c r="I64" s="1">
        <v>35.770000000000003</v>
      </c>
      <c r="J64" s="1">
        <v>312.94400000000002</v>
      </c>
      <c r="K64" s="2">
        <f t="shared" si="0"/>
        <v>0.11430160028631321</v>
      </c>
      <c r="L64" s="2">
        <v>0.8</v>
      </c>
      <c r="M64" s="3">
        <v>5.5709999999999997</v>
      </c>
      <c r="N64" s="3">
        <v>44.286000000000001</v>
      </c>
      <c r="O64" s="3">
        <v>0.72299999999999998</v>
      </c>
      <c r="P64" s="3"/>
      <c r="Q64" s="3">
        <v>0.31259999999999999</v>
      </c>
    </row>
    <row r="65" spans="1:17">
      <c r="A65" s="1">
        <v>163</v>
      </c>
      <c r="B65" s="1">
        <v>500</v>
      </c>
      <c r="C65" s="1">
        <v>100</v>
      </c>
      <c r="D65" s="1">
        <v>50</v>
      </c>
      <c r="E65" s="1">
        <v>1</v>
      </c>
      <c r="F65" s="1">
        <v>1.5</v>
      </c>
      <c r="G65" s="1">
        <v>150</v>
      </c>
      <c r="H65" s="1">
        <v>99.6</v>
      </c>
      <c r="I65" s="1">
        <v>22.597999999999999</v>
      </c>
      <c r="J65" s="1">
        <v>363.67099999999999</v>
      </c>
      <c r="K65" s="1">
        <f t="shared" si="0"/>
        <v>6.2138581300131161E-2</v>
      </c>
      <c r="L65" s="1">
        <v>2</v>
      </c>
      <c r="M65" s="3">
        <v>5.7919999999999998</v>
      </c>
      <c r="N65" s="3">
        <v>39.619</v>
      </c>
      <c r="O65" s="3">
        <v>0.74199999999999999</v>
      </c>
      <c r="P65" s="3"/>
      <c r="Q65" s="3">
        <v>0.46100000000000002</v>
      </c>
    </row>
    <row r="66" spans="1:17">
      <c r="A66" s="1">
        <v>165</v>
      </c>
      <c r="B66" s="1">
        <v>120</v>
      </c>
      <c r="C66" s="1">
        <v>1000</v>
      </c>
      <c r="D66" s="1">
        <v>70</v>
      </c>
      <c r="E66" s="2">
        <v>0.23</v>
      </c>
      <c r="F66" s="1">
        <v>0</v>
      </c>
      <c r="G66" s="1">
        <v>300</v>
      </c>
      <c r="H66" s="2">
        <v>209.4</v>
      </c>
      <c r="I66" s="1">
        <v>39.744999999999997</v>
      </c>
      <c r="J66" s="1">
        <v>647.84500000000003</v>
      </c>
      <c r="K66" s="2">
        <f t="shared" si="0"/>
        <v>6.1349551204377586E-2</v>
      </c>
      <c r="L66" s="2">
        <v>1.9</v>
      </c>
      <c r="M66" s="3">
        <v>7.1669999999999998</v>
      </c>
      <c r="N66" s="3">
        <v>67.088999999999999</v>
      </c>
      <c r="O66" s="3">
        <v>0.89500000000000002</v>
      </c>
      <c r="P66" s="3"/>
      <c r="Q66" s="3">
        <v>0.20860000000000001</v>
      </c>
    </row>
    <row r="67" spans="1:17">
      <c r="A67" s="2">
        <v>167</v>
      </c>
      <c r="B67" s="1">
        <v>500</v>
      </c>
      <c r="C67" s="1">
        <v>2000</v>
      </c>
      <c r="D67" s="1">
        <v>80</v>
      </c>
      <c r="E67" s="2">
        <v>0.48</v>
      </c>
      <c r="F67" s="1">
        <v>2</v>
      </c>
      <c r="G67" s="1">
        <v>500</v>
      </c>
      <c r="H67" s="2">
        <v>240</v>
      </c>
      <c r="I67" s="1">
        <v>92.986999999999995</v>
      </c>
      <c r="J67" s="1">
        <v>719.745</v>
      </c>
      <c r="K67" s="2">
        <f t="shared" ref="K67:K83" si="1">I67 / J67</f>
        <v>0.12919436744958282</v>
      </c>
      <c r="L67" s="2">
        <v>1</v>
      </c>
      <c r="M67" s="3">
        <v>18.597999999999999</v>
      </c>
      <c r="N67" s="3">
        <v>127.565</v>
      </c>
      <c r="O67" s="3">
        <v>0.81499999999999995</v>
      </c>
      <c r="P67" s="3"/>
      <c r="Q67" s="3">
        <v>0.36170000000000002</v>
      </c>
    </row>
    <row r="68" spans="1:17">
      <c r="A68" s="2">
        <v>169</v>
      </c>
      <c r="B68" s="1">
        <v>500</v>
      </c>
      <c r="C68" s="1">
        <v>500</v>
      </c>
      <c r="D68" s="1">
        <v>80</v>
      </c>
      <c r="E68" s="1">
        <v>0.48</v>
      </c>
      <c r="F68" s="1">
        <v>-0.5</v>
      </c>
      <c r="G68" s="1">
        <v>500</v>
      </c>
      <c r="H68" s="1">
        <v>240</v>
      </c>
      <c r="I68" s="1">
        <v>36.783999999999999</v>
      </c>
      <c r="J68" s="1">
        <v>727.22699999999998</v>
      </c>
      <c r="K68" s="1">
        <f t="shared" si="1"/>
        <v>5.0581180291710839E-2</v>
      </c>
      <c r="L68" s="1">
        <v>1</v>
      </c>
      <c r="M68" s="3">
        <v>8.625</v>
      </c>
      <c r="N68" s="3">
        <v>69.984999999999999</v>
      </c>
      <c r="O68" s="3">
        <v>0.879</v>
      </c>
      <c r="P68" s="3"/>
      <c r="Q68" s="3">
        <v>0.29870000000000002</v>
      </c>
    </row>
    <row r="69" spans="1:17">
      <c r="A69" s="1">
        <v>170</v>
      </c>
      <c r="B69" s="1">
        <v>60</v>
      </c>
      <c r="C69" s="1">
        <v>500</v>
      </c>
      <c r="D69" s="1">
        <v>70</v>
      </c>
      <c r="E69" s="2">
        <v>0.46</v>
      </c>
      <c r="F69" s="1">
        <v>0.5</v>
      </c>
      <c r="G69" s="1">
        <v>100</v>
      </c>
      <c r="H69" s="2">
        <v>209.4</v>
      </c>
      <c r="I69" s="1">
        <v>27.760999999999999</v>
      </c>
      <c r="J69" s="1">
        <v>403.07400000000001</v>
      </c>
      <c r="K69" s="2">
        <f t="shared" si="1"/>
        <v>6.8873209385869591E-2</v>
      </c>
      <c r="L69" s="2">
        <v>7.7</v>
      </c>
      <c r="M69" s="3">
        <v>6.5590000000000002</v>
      </c>
      <c r="N69" s="3">
        <v>45.448</v>
      </c>
      <c r="O69" s="3">
        <v>0.73699999999999999</v>
      </c>
      <c r="P69" s="3"/>
      <c r="Q69" s="3">
        <v>0.16550000000000001</v>
      </c>
    </row>
    <row r="70" spans="1:17">
      <c r="A70" s="1">
        <v>172</v>
      </c>
      <c r="B70" s="1">
        <v>120</v>
      </c>
      <c r="C70" s="1">
        <v>2000</v>
      </c>
      <c r="D70" s="1">
        <v>90</v>
      </c>
      <c r="E70" s="2">
        <v>0.15</v>
      </c>
      <c r="F70" s="1">
        <v>2</v>
      </c>
      <c r="G70" s="1">
        <v>500</v>
      </c>
      <c r="H70" s="2">
        <v>269.39999999999998</v>
      </c>
      <c r="I70" s="1">
        <v>87.001999999999995</v>
      </c>
      <c r="J70" s="1">
        <v>740.34799999999996</v>
      </c>
      <c r="K70" s="2">
        <f t="shared" si="1"/>
        <v>0.1175150064564232</v>
      </c>
      <c r="L70" s="2">
        <v>1.2</v>
      </c>
      <c r="M70" s="3">
        <v>15.646000000000001</v>
      </c>
      <c r="N70" s="3">
        <v>124.86799999999999</v>
      </c>
      <c r="O70" s="3">
        <v>0.85299999999999998</v>
      </c>
      <c r="P70" s="3"/>
      <c r="Q70" s="3">
        <v>0.30530000000000002</v>
      </c>
    </row>
    <row r="71" spans="1:17">
      <c r="A71" s="2">
        <v>174</v>
      </c>
      <c r="B71" s="1">
        <v>500</v>
      </c>
      <c r="C71" s="1">
        <v>50</v>
      </c>
      <c r="D71" s="1">
        <v>80</v>
      </c>
      <c r="E71" s="1">
        <v>1.6</v>
      </c>
      <c r="F71" s="1">
        <v>2.5</v>
      </c>
      <c r="G71" s="1">
        <v>120</v>
      </c>
      <c r="H71" s="1">
        <v>80</v>
      </c>
      <c r="I71" s="1">
        <v>18.081</v>
      </c>
      <c r="J71" s="1">
        <v>378.14600000000002</v>
      </c>
      <c r="K71" s="1">
        <f t="shared" si="1"/>
        <v>4.7814865157901974E-2</v>
      </c>
      <c r="L71" s="1">
        <v>3.2</v>
      </c>
      <c r="M71" s="3">
        <v>5.5410000000000004</v>
      </c>
      <c r="N71" s="3">
        <v>37.902000000000001</v>
      </c>
      <c r="O71" s="3"/>
      <c r="P71" s="3"/>
      <c r="Q71" s="3">
        <v>0.27100000000000002</v>
      </c>
    </row>
    <row r="72" spans="1:17">
      <c r="A72" s="2">
        <v>175</v>
      </c>
      <c r="B72" s="1">
        <v>60</v>
      </c>
      <c r="C72" s="1">
        <v>500</v>
      </c>
      <c r="D72" s="1">
        <v>50</v>
      </c>
      <c r="E72" s="2">
        <v>0.33</v>
      </c>
      <c r="F72" s="1">
        <v>1</v>
      </c>
      <c r="G72" s="1">
        <v>100</v>
      </c>
      <c r="H72" s="2">
        <v>149.4</v>
      </c>
      <c r="I72" s="1">
        <v>19.263000000000002</v>
      </c>
      <c r="J72" s="1">
        <v>303.52199999999999</v>
      </c>
      <c r="K72" s="2">
        <f t="shared" si="1"/>
        <v>6.3464921817858344E-2</v>
      </c>
      <c r="L72" s="2">
        <v>5.5</v>
      </c>
      <c r="M72" s="3">
        <v>3.8439999999999999</v>
      </c>
      <c r="N72" s="3">
        <v>31.178999999999998</v>
      </c>
      <c r="O72" s="3">
        <v>0.871</v>
      </c>
      <c r="P72" s="3"/>
      <c r="Q72" s="3">
        <v>0.17449999999999999</v>
      </c>
    </row>
    <row r="73" spans="1:17">
      <c r="A73" s="1">
        <v>176</v>
      </c>
      <c r="B73" s="1">
        <v>500</v>
      </c>
      <c r="C73" s="1">
        <v>1500</v>
      </c>
      <c r="D73" s="1">
        <v>50</v>
      </c>
      <c r="E73" s="2">
        <v>0.3</v>
      </c>
      <c r="F73" s="1">
        <v>2</v>
      </c>
      <c r="G73" s="1">
        <v>300</v>
      </c>
      <c r="H73" s="2">
        <v>149.4</v>
      </c>
      <c r="I73" s="1">
        <v>55.332999999999998</v>
      </c>
      <c r="J73" s="1">
        <v>606.89099999999996</v>
      </c>
      <c r="K73" s="2">
        <f t="shared" si="1"/>
        <v>9.1174527221527427E-2</v>
      </c>
      <c r="L73" s="2">
        <v>0.6</v>
      </c>
      <c r="M73" s="3">
        <v>14.622</v>
      </c>
      <c r="N73" s="3">
        <v>76.953000000000003</v>
      </c>
      <c r="O73" s="3">
        <v>0.69599999999999995</v>
      </c>
      <c r="P73" s="3"/>
      <c r="Q73" s="3">
        <v>0.55549999999999999</v>
      </c>
    </row>
    <row r="74" spans="1:17">
      <c r="A74" s="1">
        <v>179</v>
      </c>
      <c r="B74" s="1">
        <v>500</v>
      </c>
      <c r="C74" s="1">
        <v>1500</v>
      </c>
      <c r="D74" s="1">
        <v>80</v>
      </c>
      <c r="E74" s="1">
        <v>0.4</v>
      </c>
      <c r="F74" s="1">
        <v>2</v>
      </c>
      <c r="G74" s="1">
        <v>300</v>
      </c>
      <c r="H74" s="1">
        <v>240</v>
      </c>
      <c r="I74" s="1">
        <v>75.22</v>
      </c>
      <c r="J74" s="1">
        <v>632.14499999999998</v>
      </c>
      <c r="K74" s="1">
        <f t="shared" si="1"/>
        <v>0.11899168703382927</v>
      </c>
      <c r="L74" s="1">
        <v>1</v>
      </c>
      <c r="M74" s="3">
        <v>12.916</v>
      </c>
      <c r="N74" s="3">
        <v>103.95399999999999</v>
      </c>
      <c r="O74" s="3">
        <v>0.82099999999999995</v>
      </c>
      <c r="P74" s="3"/>
      <c r="Q74" s="3">
        <v>0.28599999999999998</v>
      </c>
    </row>
    <row r="75" spans="1:17">
      <c r="A75" s="2">
        <v>183</v>
      </c>
      <c r="B75" s="1">
        <v>120</v>
      </c>
      <c r="C75" s="1">
        <v>2000</v>
      </c>
      <c r="D75" s="1">
        <v>90</v>
      </c>
      <c r="E75" s="2">
        <v>0.15</v>
      </c>
      <c r="F75" s="1">
        <v>0</v>
      </c>
      <c r="G75" s="1">
        <v>300</v>
      </c>
      <c r="H75" s="2">
        <v>269.39999999999998</v>
      </c>
      <c r="I75" s="1">
        <v>57.006999999999998</v>
      </c>
      <c r="J75" s="1">
        <v>673.36800000000005</v>
      </c>
      <c r="K75" s="2">
        <f t="shared" si="1"/>
        <v>8.4659502679069978E-2</v>
      </c>
      <c r="L75" s="2">
        <v>1.2</v>
      </c>
      <c r="M75" s="3">
        <v>7.907</v>
      </c>
      <c r="N75" s="3">
        <v>87.340999999999994</v>
      </c>
      <c r="O75" s="3">
        <v>0.93799999999999994</v>
      </c>
      <c r="P75" s="3"/>
      <c r="Q75" s="3">
        <v>0.24829999999999999</v>
      </c>
    </row>
    <row r="76" spans="1:17">
      <c r="A76" s="2">
        <v>185</v>
      </c>
      <c r="B76" s="1">
        <v>120</v>
      </c>
      <c r="C76" s="1">
        <v>300</v>
      </c>
      <c r="D76" s="1">
        <v>80</v>
      </c>
      <c r="E76" s="2">
        <v>0.52</v>
      </c>
      <c r="F76" s="1">
        <v>0</v>
      </c>
      <c r="G76" s="1">
        <v>150</v>
      </c>
      <c r="H76" s="2">
        <v>240</v>
      </c>
      <c r="I76" s="1">
        <v>39.122</v>
      </c>
      <c r="J76" s="1">
        <v>449.358</v>
      </c>
      <c r="K76" s="2">
        <f t="shared" si="1"/>
        <v>8.7061986211439429E-2</v>
      </c>
      <c r="L76" s="2">
        <v>4.3</v>
      </c>
      <c r="M76" s="3">
        <v>8.9209999999999994</v>
      </c>
      <c r="N76" s="3">
        <v>56.088000000000001</v>
      </c>
      <c r="O76" s="3">
        <v>0.91600000000000004</v>
      </c>
      <c r="P76" s="3"/>
      <c r="Q76" s="3">
        <v>0.28070000000000001</v>
      </c>
    </row>
    <row r="77" spans="1:17">
      <c r="A77" s="1">
        <v>187</v>
      </c>
      <c r="B77" s="1">
        <v>60</v>
      </c>
      <c r="C77" s="1">
        <v>1500</v>
      </c>
      <c r="D77" s="1">
        <v>60</v>
      </c>
      <c r="E77" s="1">
        <v>0.13</v>
      </c>
      <c r="F77" s="1">
        <v>-2.5</v>
      </c>
      <c r="G77" s="1">
        <v>500</v>
      </c>
      <c r="H77" s="1">
        <v>180</v>
      </c>
      <c r="I77" s="1">
        <v>46.734999999999999</v>
      </c>
      <c r="J77" s="1">
        <v>260.79399999999998</v>
      </c>
      <c r="K77" s="1">
        <f t="shared" si="1"/>
        <v>0.17920274239438025</v>
      </c>
      <c r="L77" s="1">
        <v>2.2000000000000002</v>
      </c>
      <c r="M77" s="3">
        <v>7.2969999999999997</v>
      </c>
      <c r="N77" s="3">
        <v>62.835999999999999</v>
      </c>
      <c r="O77" s="3">
        <v>0.78400000000000003</v>
      </c>
      <c r="P77" s="3"/>
      <c r="Q77" s="3">
        <v>0.26119999999999999</v>
      </c>
    </row>
    <row r="78" spans="1:17">
      <c r="A78" s="1">
        <v>190</v>
      </c>
      <c r="B78" s="1">
        <v>500</v>
      </c>
      <c r="C78" s="1">
        <v>300</v>
      </c>
      <c r="D78" s="1">
        <v>80</v>
      </c>
      <c r="E78" s="2">
        <v>0.48</v>
      </c>
      <c r="F78" s="1">
        <v>-2.5</v>
      </c>
      <c r="G78" s="1">
        <v>300</v>
      </c>
      <c r="H78" s="2">
        <v>240</v>
      </c>
      <c r="I78" s="1">
        <v>31.376999999999999</v>
      </c>
      <c r="J78" s="1">
        <v>510.53800000000001</v>
      </c>
      <c r="K78" s="2">
        <f t="shared" si="1"/>
        <v>6.1458696512306621E-2</v>
      </c>
      <c r="L78" s="2">
        <v>1</v>
      </c>
      <c r="M78" s="3">
        <v>6.66</v>
      </c>
      <c r="N78" s="3">
        <v>56.496000000000002</v>
      </c>
      <c r="O78" s="3">
        <v>0.83499999999999996</v>
      </c>
      <c r="P78" s="3"/>
      <c r="Q78" s="3">
        <v>0.19919999999999999</v>
      </c>
    </row>
    <row r="79" spans="1:17">
      <c r="A79" s="2">
        <v>192</v>
      </c>
      <c r="B79" s="1">
        <v>500</v>
      </c>
      <c r="C79" s="1">
        <v>300</v>
      </c>
      <c r="D79" s="1">
        <v>60</v>
      </c>
      <c r="E79" s="2">
        <v>0.36</v>
      </c>
      <c r="F79" s="1">
        <v>0.5</v>
      </c>
      <c r="G79" s="1">
        <v>500</v>
      </c>
      <c r="H79" s="2">
        <v>180</v>
      </c>
      <c r="I79" s="1">
        <v>65.131</v>
      </c>
      <c r="J79" s="1">
        <v>686.87199999999996</v>
      </c>
      <c r="K79" s="2">
        <f t="shared" si="1"/>
        <v>9.4822616149733877E-2</v>
      </c>
      <c r="L79" s="2">
        <v>0.7</v>
      </c>
      <c r="M79" s="3">
        <v>18.146000000000001</v>
      </c>
      <c r="N79" s="3">
        <v>112.229</v>
      </c>
      <c r="O79" s="3">
        <v>0.78400000000000003</v>
      </c>
      <c r="P79" s="3"/>
      <c r="Q79" s="3">
        <v>0.37830000000000003</v>
      </c>
    </row>
    <row r="80" spans="1:17">
      <c r="A80" s="2">
        <v>197</v>
      </c>
      <c r="B80" s="1">
        <v>60</v>
      </c>
      <c r="C80" s="1">
        <v>1500</v>
      </c>
      <c r="D80" s="1">
        <v>80</v>
      </c>
      <c r="E80" s="1">
        <v>0.18</v>
      </c>
      <c r="F80" s="1">
        <v>2</v>
      </c>
      <c r="G80" s="1">
        <v>300</v>
      </c>
      <c r="H80" s="1">
        <v>240</v>
      </c>
      <c r="I80" s="1">
        <v>68.841999999999999</v>
      </c>
      <c r="J80" s="1">
        <v>623.32799999999997</v>
      </c>
      <c r="K80" s="1">
        <f t="shared" si="1"/>
        <v>0.11044265619384978</v>
      </c>
      <c r="L80" s="1">
        <v>2.9</v>
      </c>
      <c r="M80" s="3">
        <v>11.898</v>
      </c>
      <c r="N80" s="3">
        <v>101.883</v>
      </c>
      <c r="O80" s="3">
        <v>0.85699999999999998</v>
      </c>
      <c r="P80" s="3"/>
      <c r="Q80" s="3">
        <v>0.31109999999999999</v>
      </c>
    </row>
    <row r="81" spans="1:17">
      <c r="A81" s="1">
        <v>199</v>
      </c>
      <c r="B81" s="1">
        <v>500</v>
      </c>
      <c r="C81" s="1">
        <v>300</v>
      </c>
      <c r="D81" s="1">
        <v>60</v>
      </c>
      <c r="E81" s="2">
        <v>0.36</v>
      </c>
      <c r="F81" s="1">
        <v>2.5</v>
      </c>
      <c r="G81" s="1">
        <v>120</v>
      </c>
      <c r="H81" s="2">
        <v>180</v>
      </c>
      <c r="I81" s="1">
        <v>16.317</v>
      </c>
      <c r="J81" s="1">
        <v>151.304</v>
      </c>
      <c r="K81" s="2">
        <f t="shared" si="1"/>
        <v>0.10784248929307884</v>
      </c>
      <c r="L81" s="2">
        <v>0.7</v>
      </c>
      <c r="M81" s="3">
        <v>1.369</v>
      </c>
      <c r="N81" s="3">
        <v>34.526000000000003</v>
      </c>
      <c r="O81" s="3">
        <v>0.80500000000000005</v>
      </c>
      <c r="P81" s="3"/>
      <c r="Q81" s="3">
        <v>0.34229999999999999</v>
      </c>
    </row>
    <row r="82" spans="1:17">
      <c r="A82" s="1">
        <v>200</v>
      </c>
      <c r="B82" s="1">
        <v>500</v>
      </c>
      <c r="C82" s="1">
        <v>50</v>
      </c>
      <c r="D82" s="1">
        <v>80</v>
      </c>
      <c r="E82" s="2">
        <v>1.6</v>
      </c>
      <c r="F82" s="1">
        <v>0.5</v>
      </c>
      <c r="G82" s="1">
        <v>100</v>
      </c>
      <c r="H82" s="2">
        <v>80</v>
      </c>
      <c r="I82" s="1">
        <v>18.308</v>
      </c>
      <c r="J82" s="1">
        <v>286.142</v>
      </c>
      <c r="K82" s="2">
        <f t="shared" si="1"/>
        <v>6.3982218618727771E-2</v>
      </c>
      <c r="L82" s="2">
        <v>3.2</v>
      </c>
      <c r="M82" s="3">
        <v>2.71</v>
      </c>
      <c r="N82" s="3">
        <v>28.045999999999999</v>
      </c>
      <c r="O82" s="3">
        <v>0.64300000000000002</v>
      </c>
      <c r="P82" s="3"/>
      <c r="Q82" s="3">
        <v>0.30990000000000001</v>
      </c>
    </row>
    <row r="83" spans="1:17">
      <c r="A83" s="2">
        <v>201</v>
      </c>
      <c r="B83" s="1">
        <v>240</v>
      </c>
      <c r="C83" s="1">
        <v>50</v>
      </c>
      <c r="D83" s="1">
        <v>70</v>
      </c>
      <c r="E83" s="1">
        <v>1.4</v>
      </c>
      <c r="F83" s="1">
        <v>-2.5</v>
      </c>
      <c r="G83" s="1">
        <v>300</v>
      </c>
      <c r="H83" s="1">
        <v>62.7</v>
      </c>
      <c r="I83" s="1">
        <v>37.209000000000003</v>
      </c>
      <c r="J83" s="1">
        <v>314.09699999999998</v>
      </c>
      <c r="K83" s="1">
        <f t="shared" si="1"/>
        <v>0.11846340461704508</v>
      </c>
      <c r="L83" s="1">
        <v>5.8</v>
      </c>
      <c r="M83" s="3">
        <v>6.577</v>
      </c>
      <c r="N83" s="3">
        <v>50.34</v>
      </c>
      <c r="O83" s="3">
        <v>0.71299999999999997</v>
      </c>
      <c r="P83" s="3"/>
      <c r="Q83" s="3">
        <v>0.3695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未名 蒋</dc:creator>
  <cp:lastModifiedBy>未名 蒋</cp:lastModifiedBy>
  <dcterms:created xsi:type="dcterms:W3CDTF">2024-11-06T03:03:05Z</dcterms:created>
  <dcterms:modified xsi:type="dcterms:W3CDTF">2024-12-05T14:30:57Z</dcterms:modified>
</cp:coreProperties>
</file>