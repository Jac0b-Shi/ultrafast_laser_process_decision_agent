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<sst xmlns="http://schemas.openxmlformats.org/spreadsheetml/2006/main" count="14" uniqueCount="14">
  <si>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序号</t>
  </si>
  <si>
    <t>脉冲宽度</t>
  </si>
  <si>
    <t>重复频率</t>
  </si>
  <si>
    <t>填充间距</t>
  </si>
  <si>
    <t>加工次数</t>
  </si>
  <si>
    <t>扫描速度</t>
  </si>
  <si>
    <t>深度1</t>
  </si>
  <si>
    <t>深度2</t>
  </si>
  <si>
    <t>深度3</t>
  </si>
  <si>
    <t>深度/μm</t>
  </si>
  <si>
    <t>粗糙度/μm</t>
  </si>
  <si>
    <t>备注</t>
  </si>
  <si>
    <t xml:space="preserve">1、表格为单晶金刚石的实验结果，表中各变量单位分别为：脉冲宽度飞秒、重复频率Khz、扫描速度mm/s； </t>
  </si>
  <si>
    <r>
      <t>2</t>
    </r>
    <r>
      <rPr>
        <sz val="11"/>
        <rFont val="宋体"/>
        <charset val="134"/>
      </rPr>
      <t>、填充方式：弓字形填充，层间距为</t>
    </r>
    <r>
      <rPr>
        <sz val="11"/>
        <rFont val="Arial"/>
        <charset val="134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</si>
</sst>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Arial"/>
      <charset val="134"/>
    </font>
    <font>
      <b/>
      <sz val="11"/>
      <name val="等线"/>
      <charset val="134"/>
      <scheme val="minor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9" applyFont="1" applyBorder="1" applyAlignment="1">
      <alignment horizontal="center" vertical="center"/>
    </xf>
    <xf numFmtId="0" fontId="2" fillId="2" borderId="1" xfId="16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3" borderId="1" xfId="17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2" xfId="9" applyFont="1" applyBorder="1" applyAlignment="1">
      <alignment horizontal="center" vertical="center"/>
    </xf>
    <xf numFmtId="0" fontId="1" fillId="2" borderId="2" xfId="16" applyFont="1" applyFill="1" applyBorder="1">
      <alignment vertical="center"/>
    </xf>
    <xf numFmtId="176" fontId="1" fillId="0" borderId="2" xfId="0" applyNumberFormat="1" applyFont="1" applyFill="1" applyBorder="1" applyAlignment="1">
      <alignment vertical="center"/>
    </xf>
    <xf numFmtId="176" fontId="1" fillId="3" borderId="2" xfId="17" applyNumberFormat="1" applyFont="1" applyFill="1" applyBorder="1" applyAlignment="1">
      <alignment vertical="center"/>
    </xf>
    <xf numFmtId="0" fontId="1" fillId="0" borderId="3" xfId="9" applyFont="1" applyBorder="1" applyAlignment="1">
      <alignment horizontal="center" vertical="center"/>
    </xf>
    <xf numFmtId="0" fontId="1" fillId="2" borderId="3" xfId="16" applyFont="1" applyFill="1" applyBorder="1">
      <alignment vertical="center"/>
    </xf>
    <xf numFmtId="176" fontId="1" fillId="0" borderId="3" xfId="0" applyNumberFormat="1" applyFont="1" applyFill="1" applyBorder="1" applyAlignment="1">
      <alignment vertical="center"/>
    </xf>
    <xf numFmtId="176" fontId="1" fillId="3" borderId="3" xfId="17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tabSelected="1" workbookViewId="0">
      <selection activeCell="N5" sqref="N5"/>
    </sheetView>
  </sheetViews>
  <sheetFormatPr defaultColWidth="9" defaultRowHeight="14.1"/>
  <cols>
    <col min="1" max="6" width="9" style="1"/>
    <col min="7" max="9" width="6.625" style="2" customWidth="1"/>
    <col min="10" max="11" width="10.875" style="2" customWidth="1"/>
    <col min="12" max="13" width="9" style="1"/>
    <col min="14" max="14" width="52.5" style="1" customWidth="1"/>
    <col min="15" max="16384" width="9" style="1"/>
  </cols>
  <sheetData>
    <row r="1" ht="29.25" customHeight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N1" s="7" t="s">
        <v>11</v>
      </c>
    </row>
    <row r="2" spans="1:14">
      <c r="A2" s="8">
        <v>10</v>
      </c>
      <c r="B2" s="9">
        <v>2000</v>
      </c>
      <c r="C2" s="9">
        <v>2</v>
      </c>
      <c r="D2" s="9">
        <v>4</v>
      </c>
      <c r="E2" s="9">
        <v>1</v>
      </c>
      <c r="F2" s="9">
        <v>0.5</v>
      </c>
      <c r="G2" s="10"/>
      <c r="H2" s="10"/>
      <c r="I2" s="10"/>
      <c r="J2" s="11">
        <v>1.69</v>
      </c>
      <c r="K2" s="11">
        <v>0.05</v>
      </c>
      <c r="N2" t="s">
        <v>12</v>
      </c>
    </row>
    <row r="3" ht="14.15" spans="1:14">
      <c r="A3" s="12">
        <v>22</v>
      </c>
      <c r="B3" s="13">
        <v>2000</v>
      </c>
      <c r="C3" s="13">
        <v>20</v>
      </c>
      <c r="D3" s="13">
        <v>4</v>
      </c>
      <c r="E3" s="13">
        <v>1</v>
      </c>
      <c r="F3" s="13">
        <v>0.2</v>
      </c>
      <c r="G3" s="14">
        <v>1.87</v>
      </c>
      <c r="H3" s="14">
        <v>1.89</v>
      </c>
      <c r="I3" s="14">
        <v>4.3</v>
      </c>
      <c r="J3" s="15">
        <f>AVERAGE(G3:I3)</f>
        <v>2.68666666666667</v>
      </c>
      <c r="K3" s="15">
        <v>0.36</v>
      </c>
      <c r="N3" s="1" t="s">
        <v>13</v>
      </c>
    </row>
    <row r="4" spans="1:14">
      <c r="A4" s="12">
        <v>21</v>
      </c>
      <c r="B4" s="13">
        <v>2000</v>
      </c>
      <c r="C4" s="13">
        <v>2</v>
      </c>
      <c r="D4" s="13">
        <v>3</v>
      </c>
      <c r="E4" s="13">
        <v>3</v>
      </c>
      <c r="F4" s="13">
        <v>1</v>
      </c>
      <c r="G4" s="14">
        <v>3.19</v>
      </c>
      <c r="H4" s="14">
        <v>3.09</v>
      </c>
      <c r="I4" s="14">
        <v>3.07</v>
      </c>
      <c r="J4" s="15">
        <f>AVERAGE(G4:I4)</f>
        <v>3.11666666666667</v>
      </c>
      <c r="K4" s="15">
        <v>0.05</v>
      </c>
    </row>
    <row r="5" spans="1:14">
      <c r="A5" s="12">
        <v>7</v>
      </c>
      <c r="B5" s="13">
        <v>1000</v>
      </c>
      <c r="C5" s="13">
        <v>20</v>
      </c>
      <c r="D5" s="13">
        <v>4</v>
      </c>
      <c r="E5" s="13">
        <v>1</v>
      </c>
      <c r="F5" s="13">
        <v>0.2</v>
      </c>
      <c r="G5" s="14"/>
      <c r="H5" s="14"/>
      <c r="I5" s="14"/>
      <c r="J5" s="15">
        <v>4.05</v>
      </c>
      <c r="K5" s="15">
        <v>0.19</v>
      </c>
    </row>
    <row r="6" spans="1:14">
      <c r="A6" s="12">
        <v>4</v>
      </c>
      <c r="B6" s="13">
        <v>1000</v>
      </c>
      <c r="C6" s="13">
        <v>2</v>
      </c>
      <c r="D6" s="13">
        <v>5</v>
      </c>
      <c r="E6" s="13">
        <v>3</v>
      </c>
      <c r="F6" s="13">
        <v>0.8</v>
      </c>
      <c r="G6" s="14"/>
      <c r="H6" s="14"/>
      <c r="I6" s="14"/>
      <c r="J6" s="15">
        <v>5.51</v>
      </c>
      <c r="K6" s="15">
        <v>0.05</v>
      </c>
    </row>
    <row r="7" spans="1:14">
      <c r="A7" s="12">
        <v>20</v>
      </c>
      <c r="B7" s="13">
        <v>4000</v>
      </c>
      <c r="C7" s="13">
        <v>2</v>
      </c>
      <c r="D7" s="13">
        <v>4</v>
      </c>
      <c r="E7" s="13">
        <v>6</v>
      </c>
      <c r="F7" s="13">
        <v>0.8</v>
      </c>
      <c r="G7" s="14">
        <v>8.7</v>
      </c>
      <c r="H7" s="14">
        <v>8.37</v>
      </c>
      <c r="I7" s="14">
        <v>8.28</v>
      </c>
      <c r="J7" s="15">
        <f>AVERAGE(G7:I7)</f>
        <v>8.45</v>
      </c>
      <c r="K7" s="15">
        <v>0.08</v>
      </c>
    </row>
    <row r="8" spans="1:14">
      <c r="A8" s="12">
        <v>53</v>
      </c>
      <c r="B8" s="13">
        <v>223</v>
      </c>
      <c r="C8" s="13">
        <v>2</v>
      </c>
      <c r="D8" s="13">
        <v>3</v>
      </c>
      <c r="E8" s="13">
        <v>4</v>
      </c>
      <c r="F8" s="13">
        <v>1</v>
      </c>
      <c r="G8" s="14">
        <v>11.52</v>
      </c>
      <c r="H8" s="14">
        <v>12.05</v>
      </c>
      <c r="I8" s="14">
        <v>12.15</v>
      </c>
      <c r="J8" s="15">
        <f>AVERAGE(G8:I8)</f>
        <v>11.9066666666667</v>
      </c>
      <c r="K8" s="15">
        <v>0.52</v>
      </c>
    </row>
    <row r="9" spans="1:14">
      <c r="A9" s="12">
        <v>31</v>
      </c>
      <c r="B9" s="13">
        <v>4000</v>
      </c>
      <c r="C9" s="13">
        <v>2</v>
      </c>
      <c r="D9" s="13">
        <v>4</v>
      </c>
      <c r="E9" s="13">
        <v>6</v>
      </c>
      <c r="F9" s="13">
        <v>0.5</v>
      </c>
      <c r="G9" s="14">
        <v>19.64</v>
      </c>
      <c r="H9" s="14">
        <v>20.02</v>
      </c>
      <c r="I9" s="14">
        <v>19.14</v>
      </c>
      <c r="J9" s="15">
        <f>AVERAGE(G9:I9)</f>
        <v>19.6</v>
      </c>
      <c r="K9" s="15">
        <v>0.24</v>
      </c>
    </row>
    <row r="10" spans="1:14">
      <c r="A10" s="12">
        <v>46</v>
      </c>
      <c r="B10" s="13">
        <v>4000</v>
      </c>
      <c r="C10" s="13">
        <v>2</v>
      </c>
      <c r="D10" s="13">
        <v>3</v>
      </c>
      <c r="E10" s="13">
        <v>9</v>
      </c>
      <c r="F10" s="13">
        <v>0.8</v>
      </c>
      <c r="G10" s="14">
        <v>23.94</v>
      </c>
      <c r="H10" s="14">
        <v>23.85</v>
      </c>
      <c r="I10" s="14">
        <v>24.29</v>
      </c>
      <c r="J10" s="15">
        <f>AVERAGE(G10:I10)</f>
        <v>24.0266666666667</v>
      </c>
      <c r="K10" s="15">
        <v>0.26</v>
      </c>
    </row>
    <row r="11" spans="1:14">
      <c r="A11" s="12">
        <v>49</v>
      </c>
      <c r="B11" s="13">
        <v>4000</v>
      </c>
      <c r="C11" s="13">
        <v>2</v>
      </c>
      <c r="D11" s="13">
        <v>2</v>
      </c>
      <c r="E11" s="13">
        <v>7</v>
      </c>
      <c r="F11" s="13">
        <v>1</v>
      </c>
      <c r="G11" s="14">
        <v>25.22</v>
      </c>
      <c r="H11" s="14">
        <v>25.76</v>
      </c>
      <c r="I11" s="14">
        <v>25</v>
      </c>
      <c r="J11" s="15">
        <f>AVERAGE(G11:I11)</f>
        <v>25.3266666666667</v>
      </c>
      <c r="K11" s="15">
        <v>0.17</v>
      </c>
    </row>
    <row r="12" spans="1:14">
      <c r="A12" s="12">
        <v>33</v>
      </c>
      <c r="B12" s="13">
        <v>500</v>
      </c>
      <c r="C12" s="13">
        <v>2</v>
      </c>
      <c r="D12" s="13">
        <v>2</v>
      </c>
      <c r="E12" s="13">
        <v>3</v>
      </c>
      <c r="F12" s="13">
        <v>0.5</v>
      </c>
      <c r="G12" s="14">
        <v>29.36</v>
      </c>
      <c r="H12" s="14">
        <v>29.22</v>
      </c>
      <c r="I12" s="14">
        <v>29.25</v>
      </c>
      <c r="J12" s="15">
        <f>AVERAGE(G12:I12)</f>
        <v>29.2766666666667</v>
      </c>
      <c r="K12" s="15">
        <v>0.18</v>
      </c>
    </row>
    <row r="13" spans="1:14">
      <c r="A13" s="12">
        <v>18</v>
      </c>
      <c r="B13" s="13">
        <v>500</v>
      </c>
      <c r="C13" s="13">
        <v>2</v>
      </c>
      <c r="D13" s="13">
        <v>2</v>
      </c>
      <c r="E13" s="13">
        <v>7</v>
      </c>
      <c r="F13" s="13">
        <v>1</v>
      </c>
      <c r="G13" s="14">
        <v>38</v>
      </c>
      <c r="H13" s="14">
        <v>38.17</v>
      </c>
      <c r="I13" s="14">
        <v>37.56</v>
      </c>
      <c r="J13" s="15">
        <f>AVERAGE(G13:I13)</f>
        <v>37.91</v>
      </c>
      <c r="K13" s="15">
        <v>0.14</v>
      </c>
    </row>
    <row r="14" spans="1:14">
      <c r="A14" s="12">
        <v>58</v>
      </c>
      <c r="B14" s="13">
        <v>1000</v>
      </c>
      <c r="C14" s="13">
        <v>2</v>
      </c>
      <c r="D14" s="13">
        <v>4</v>
      </c>
      <c r="E14" s="13">
        <v>10</v>
      </c>
      <c r="F14" s="13">
        <v>0.5</v>
      </c>
      <c r="G14" s="14">
        <v>42.66</v>
      </c>
      <c r="H14" s="14">
        <v>42.99</v>
      </c>
      <c r="I14" s="14">
        <v>42.97</v>
      </c>
      <c r="J14" s="15">
        <f>AVERAGE(G14:I14)</f>
        <v>42.8733333333333</v>
      </c>
      <c r="K14" s="15">
        <v>0.08</v>
      </c>
    </row>
    <row r="15" spans="1:14">
      <c r="A15" s="12">
        <v>30</v>
      </c>
      <c r="B15" s="13">
        <v>2000</v>
      </c>
      <c r="C15" s="13">
        <v>2</v>
      </c>
      <c r="D15" s="13">
        <v>2</v>
      </c>
      <c r="E15" s="13">
        <v>10</v>
      </c>
      <c r="F15" s="13">
        <v>0.8</v>
      </c>
      <c r="G15" s="14">
        <v>47.55</v>
      </c>
      <c r="H15" s="14">
        <v>47.64</v>
      </c>
      <c r="I15" s="14">
        <v>47.5</v>
      </c>
      <c r="J15" s="15">
        <f>AVERAGE(G15:I15)</f>
        <v>47.5633333333333</v>
      </c>
      <c r="K15" s="15">
        <v>0.1</v>
      </c>
    </row>
    <row r="16" spans="1:14">
      <c r="A16" s="12">
        <v>16</v>
      </c>
      <c r="B16" s="13">
        <v>2000</v>
      </c>
      <c r="C16" s="13">
        <v>20</v>
      </c>
      <c r="D16" s="13">
        <v>5</v>
      </c>
      <c r="E16" s="13">
        <v>3</v>
      </c>
      <c r="F16" s="13">
        <v>0.2</v>
      </c>
      <c r="G16" s="14">
        <v>56.78</v>
      </c>
      <c r="H16" s="14">
        <v>56.93</v>
      </c>
      <c r="I16" s="14">
        <v>56.83</v>
      </c>
      <c r="J16" s="15">
        <f>AVERAGE(G16:I16)</f>
        <v>56.8466666666667</v>
      </c>
      <c r="K16" s="15">
        <v>0.13</v>
      </c>
    </row>
    <row r="17" spans="1:11">
      <c r="A17" s="12">
        <v>25</v>
      </c>
      <c r="B17" s="13">
        <v>500</v>
      </c>
      <c r="C17" s="13">
        <v>2</v>
      </c>
      <c r="D17" s="13">
        <v>5</v>
      </c>
      <c r="E17" s="13">
        <v>5</v>
      </c>
      <c r="F17" s="13">
        <v>0.05</v>
      </c>
      <c r="G17" s="14">
        <v>56.96</v>
      </c>
      <c r="H17" s="14">
        <v>56.94</v>
      </c>
      <c r="I17" s="14">
        <v>56.88</v>
      </c>
      <c r="J17" s="15">
        <f>AVERAGE(G17:I17)</f>
        <v>56.9266666666667</v>
      </c>
      <c r="K17" s="15">
        <v>0.05</v>
      </c>
    </row>
    <row r="18" spans="1:11">
      <c r="A18" s="12">
        <v>32</v>
      </c>
      <c r="B18" s="13">
        <v>223</v>
      </c>
      <c r="C18" s="13">
        <v>20</v>
      </c>
      <c r="D18" s="13">
        <v>5</v>
      </c>
      <c r="E18" s="13">
        <v>4</v>
      </c>
      <c r="F18" s="13">
        <v>0.5</v>
      </c>
      <c r="G18" s="14">
        <v>57.38</v>
      </c>
      <c r="H18" s="14">
        <v>57.14</v>
      </c>
      <c r="I18" s="14">
        <v>57.44</v>
      </c>
      <c r="J18" s="15">
        <f>AVERAGE(G18:I18)</f>
        <v>57.32</v>
      </c>
      <c r="K18" s="15">
        <v>0.06</v>
      </c>
    </row>
    <row r="19" spans="1:11">
      <c r="A19" s="12">
        <v>50</v>
      </c>
      <c r="B19" s="13">
        <v>1000</v>
      </c>
      <c r="C19" s="13">
        <v>20</v>
      </c>
      <c r="D19" s="13">
        <v>2</v>
      </c>
      <c r="E19" s="13">
        <v>5</v>
      </c>
      <c r="F19" s="13">
        <v>1</v>
      </c>
      <c r="G19" s="14">
        <v>57.48</v>
      </c>
      <c r="H19" s="14">
        <v>57.44</v>
      </c>
      <c r="I19" s="14">
        <v>57.51</v>
      </c>
      <c r="J19" s="15">
        <f>AVERAGE(G19:I19)</f>
        <v>57.4766666666667</v>
      </c>
      <c r="K19" s="15">
        <v>0.09</v>
      </c>
    </row>
    <row r="20" spans="1:11">
      <c r="A20" s="12">
        <v>34</v>
      </c>
      <c r="B20" s="13">
        <v>2000</v>
      </c>
      <c r="C20" s="13">
        <v>20</v>
      </c>
      <c r="D20" s="13">
        <v>5</v>
      </c>
      <c r="E20" s="13">
        <v>8</v>
      </c>
      <c r="F20" s="13">
        <v>0.5</v>
      </c>
      <c r="G20" s="14">
        <v>58.2</v>
      </c>
      <c r="H20" s="14">
        <v>58.22</v>
      </c>
      <c r="I20" s="14">
        <v>58.21</v>
      </c>
      <c r="J20" s="15">
        <f>AVERAGE(G20:I20)</f>
        <v>58.21</v>
      </c>
      <c r="K20" s="15">
        <v>0.07</v>
      </c>
    </row>
    <row r="21" spans="1:11">
      <c r="A21" s="12">
        <v>8</v>
      </c>
      <c r="B21" s="13">
        <v>2000</v>
      </c>
      <c r="C21" s="13">
        <v>20</v>
      </c>
      <c r="D21" s="13">
        <v>3</v>
      </c>
      <c r="E21" s="13">
        <v>7</v>
      </c>
      <c r="F21" s="13">
        <v>1</v>
      </c>
      <c r="G21" s="14"/>
      <c r="H21" s="14"/>
      <c r="I21" s="14"/>
      <c r="J21" s="15">
        <v>58.49</v>
      </c>
      <c r="K21" s="15">
        <v>0.09</v>
      </c>
    </row>
    <row r="22" spans="1:11">
      <c r="A22" s="12">
        <v>11</v>
      </c>
      <c r="B22" s="13">
        <v>500</v>
      </c>
      <c r="C22" s="13">
        <v>200</v>
      </c>
      <c r="D22" s="13">
        <v>5</v>
      </c>
      <c r="E22" s="13">
        <v>3</v>
      </c>
      <c r="F22" s="13">
        <v>1</v>
      </c>
      <c r="G22" s="14">
        <v>59.87</v>
      </c>
      <c r="H22" s="14">
        <v>59.83</v>
      </c>
      <c r="I22" s="14">
        <v>59.61</v>
      </c>
      <c r="J22" s="15">
        <f>AVERAGE(G22:I22)</f>
        <v>59.77</v>
      </c>
      <c r="K22" s="15">
        <v>1.32</v>
      </c>
    </row>
    <row r="23" spans="1:11">
      <c r="A23" s="12">
        <v>44</v>
      </c>
      <c r="B23" s="13">
        <v>223</v>
      </c>
      <c r="C23" s="13">
        <v>200</v>
      </c>
      <c r="D23" s="13">
        <v>3</v>
      </c>
      <c r="E23" s="13">
        <v>1</v>
      </c>
      <c r="F23" s="13">
        <v>0.2</v>
      </c>
      <c r="G23" s="14">
        <v>59.99</v>
      </c>
      <c r="H23" s="14">
        <v>59.43</v>
      </c>
      <c r="I23" s="14">
        <v>59.89</v>
      </c>
      <c r="J23" s="15">
        <f>AVERAGE(G23:I23)</f>
        <v>59.77</v>
      </c>
      <c r="K23" s="15">
        <v>0.35</v>
      </c>
    </row>
    <row r="24" spans="1:11">
      <c r="A24" s="12">
        <v>42</v>
      </c>
      <c r="B24" s="13">
        <v>4000</v>
      </c>
      <c r="C24" s="13">
        <v>20</v>
      </c>
      <c r="D24" s="13">
        <v>2</v>
      </c>
      <c r="E24" s="13">
        <v>2</v>
      </c>
      <c r="F24" s="13">
        <v>0.05</v>
      </c>
      <c r="G24" s="14">
        <v>60.63</v>
      </c>
      <c r="H24" s="14">
        <v>60.51</v>
      </c>
      <c r="I24" s="14">
        <v>61.13</v>
      </c>
      <c r="J24" s="15">
        <f>AVERAGE(G24:I24)</f>
        <v>60.7566666666667</v>
      </c>
      <c r="K24" s="15">
        <v>0.07</v>
      </c>
    </row>
    <row r="25" spans="1:11">
      <c r="A25" s="12">
        <v>40</v>
      </c>
      <c r="B25" s="13">
        <v>500</v>
      </c>
      <c r="C25" s="13">
        <v>2</v>
      </c>
      <c r="D25" s="13">
        <v>3</v>
      </c>
      <c r="E25" s="13">
        <v>4</v>
      </c>
      <c r="F25" s="13">
        <v>0.05</v>
      </c>
      <c r="G25" s="14">
        <v>60.79</v>
      </c>
      <c r="H25" s="14">
        <v>60.83</v>
      </c>
      <c r="I25" s="14">
        <v>60.79</v>
      </c>
      <c r="J25" s="15">
        <f>AVERAGE(G25:I25)</f>
        <v>60.8033333333333</v>
      </c>
      <c r="K25" s="15">
        <v>0.09</v>
      </c>
    </row>
    <row r="26" spans="1:11">
      <c r="A26" s="12">
        <v>54</v>
      </c>
      <c r="B26" s="13">
        <v>4000</v>
      </c>
      <c r="C26" s="13">
        <v>20</v>
      </c>
      <c r="D26" s="13">
        <v>1</v>
      </c>
      <c r="E26" s="13">
        <v>5</v>
      </c>
      <c r="F26" s="13">
        <v>0.8</v>
      </c>
      <c r="G26" s="14">
        <v>61.31</v>
      </c>
      <c r="H26" s="14">
        <v>61.38</v>
      </c>
      <c r="I26" s="14">
        <v>61.46</v>
      </c>
      <c r="J26" s="15">
        <f>AVERAGE(G26:I26)</f>
        <v>61.3833333333333</v>
      </c>
      <c r="K26" s="15">
        <v>0.11</v>
      </c>
    </row>
    <row r="27" spans="1:11">
      <c r="A27" s="12">
        <v>28</v>
      </c>
      <c r="B27" s="13">
        <v>223</v>
      </c>
      <c r="C27" s="13">
        <v>2</v>
      </c>
      <c r="D27" s="13">
        <v>2</v>
      </c>
      <c r="E27" s="13">
        <v>7</v>
      </c>
      <c r="F27" s="13">
        <v>0.2</v>
      </c>
      <c r="G27" s="14">
        <v>61.68</v>
      </c>
      <c r="H27" s="14">
        <v>61.78</v>
      </c>
      <c r="I27" s="14">
        <v>61.84</v>
      </c>
      <c r="J27" s="15">
        <f>AVERAGE(G27:I27)</f>
        <v>61.7666666666667</v>
      </c>
      <c r="K27" s="15">
        <v>0.04</v>
      </c>
    </row>
    <row r="28" spans="1:11">
      <c r="A28" s="12">
        <v>14</v>
      </c>
      <c r="B28" s="13">
        <v>223</v>
      </c>
      <c r="C28" s="13">
        <v>20</v>
      </c>
      <c r="D28" s="13">
        <v>1</v>
      </c>
      <c r="E28" s="13">
        <v>4</v>
      </c>
      <c r="F28" s="13">
        <v>1</v>
      </c>
      <c r="G28" s="14">
        <v>61.77</v>
      </c>
      <c r="H28" s="14">
        <v>61.93</v>
      </c>
      <c r="I28" s="14">
        <v>61.77</v>
      </c>
      <c r="J28" s="15">
        <f>AVERAGE(G28:I28)</f>
        <v>61.8233333333333</v>
      </c>
      <c r="K28" s="15">
        <v>0.05</v>
      </c>
    </row>
    <row r="29" spans="1:11">
      <c r="A29" s="12">
        <v>38</v>
      </c>
      <c r="B29" s="13">
        <v>4000</v>
      </c>
      <c r="C29" s="13">
        <v>200</v>
      </c>
      <c r="D29" s="13">
        <v>5</v>
      </c>
      <c r="E29" s="13">
        <v>5</v>
      </c>
      <c r="F29" s="13">
        <v>0.8</v>
      </c>
      <c r="G29" s="14">
        <v>64.82</v>
      </c>
      <c r="H29" s="14">
        <v>64.75</v>
      </c>
      <c r="I29" s="14">
        <v>65.19</v>
      </c>
      <c r="J29" s="15">
        <f>AVERAGE(G29:I29)</f>
        <v>64.92</v>
      </c>
      <c r="K29" s="15">
        <v>0.45</v>
      </c>
    </row>
    <row r="30" spans="1:11">
      <c r="A30" s="12">
        <v>36</v>
      </c>
      <c r="B30" s="13">
        <v>1000</v>
      </c>
      <c r="C30" s="13">
        <v>20</v>
      </c>
      <c r="D30" s="13">
        <v>2</v>
      </c>
      <c r="E30" s="13">
        <v>2</v>
      </c>
      <c r="F30" s="13">
        <v>0.1</v>
      </c>
      <c r="G30" s="14">
        <v>65.35</v>
      </c>
      <c r="H30" s="14">
        <v>65.4</v>
      </c>
      <c r="I30" s="14">
        <v>65.49</v>
      </c>
      <c r="J30" s="15">
        <f>AVERAGE(G30:I30)</f>
        <v>65.4133333333333</v>
      </c>
      <c r="K30" s="15">
        <v>0.18</v>
      </c>
    </row>
    <row r="31" spans="1:11">
      <c r="A31" s="12">
        <v>60</v>
      </c>
      <c r="B31" s="13">
        <v>2000</v>
      </c>
      <c r="C31" s="13">
        <v>2</v>
      </c>
      <c r="D31" s="13">
        <v>3</v>
      </c>
      <c r="E31" s="13">
        <v>8</v>
      </c>
      <c r="F31" s="13">
        <v>0.05</v>
      </c>
      <c r="G31" s="14">
        <v>66.35</v>
      </c>
      <c r="H31" s="14">
        <v>66.41</v>
      </c>
      <c r="I31" s="14">
        <v>66.23</v>
      </c>
      <c r="J31" s="15">
        <f>AVERAGE(G31:I31)</f>
        <v>66.33</v>
      </c>
      <c r="K31" s="15">
        <v>0.06</v>
      </c>
    </row>
    <row r="32" spans="1:11">
      <c r="A32" s="12">
        <v>35</v>
      </c>
      <c r="B32" s="13">
        <v>1000</v>
      </c>
      <c r="C32" s="13">
        <v>200</v>
      </c>
      <c r="D32" s="13">
        <v>4</v>
      </c>
      <c r="E32" s="13">
        <v>2</v>
      </c>
      <c r="F32" s="13">
        <v>0.2</v>
      </c>
      <c r="G32" s="14">
        <v>66.85</v>
      </c>
      <c r="H32" s="14">
        <v>67.77</v>
      </c>
      <c r="I32" s="14">
        <v>65.64</v>
      </c>
      <c r="J32" s="15">
        <f>AVERAGE(G32:I32)</f>
        <v>66.7533333333333</v>
      </c>
      <c r="K32" s="15">
        <v>0.46</v>
      </c>
    </row>
    <row r="33" spans="1:11">
      <c r="A33" s="12">
        <v>27</v>
      </c>
      <c r="B33" s="13">
        <v>1000</v>
      </c>
      <c r="C33" s="13">
        <v>200</v>
      </c>
      <c r="D33" s="13">
        <v>1</v>
      </c>
      <c r="E33" s="13">
        <v>2</v>
      </c>
      <c r="F33" s="13">
        <v>0.5</v>
      </c>
      <c r="G33" s="14">
        <v>70.39</v>
      </c>
      <c r="H33" s="14">
        <v>70.64</v>
      </c>
      <c r="I33" s="14">
        <v>70.48</v>
      </c>
      <c r="J33" s="15">
        <f>AVERAGE(G33:I33)</f>
        <v>70.5033333333333</v>
      </c>
      <c r="K33" s="15">
        <v>0.08</v>
      </c>
    </row>
    <row r="34" spans="1:11">
      <c r="A34" s="12">
        <v>19</v>
      </c>
      <c r="B34" s="13">
        <v>4000</v>
      </c>
      <c r="C34" s="13">
        <v>200</v>
      </c>
      <c r="D34" s="13">
        <v>2</v>
      </c>
      <c r="E34" s="13">
        <v>6</v>
      </c>
      <c r="F34" s="13">
        <v>0.5</v>
      </c>
      <c r="G34" s="14">
        <v>71.02</v>
      </c>
      <c r="H34" s="14">
        <v>70.94</v>
      </c>
      <c r="I34" s="14">
        <v>71.1</v>
      </c>
      <c r="J34" s="15">
        <f>AVERAGE(G34:I34)</f>
        <v>71.02</v>
      </c>
      <c r="K34" s="15">
        <v>0.17</v>
      </c>
    </row>
    <row r="35" spans="1:11">
      <c r="A35" s="12">
        <v>15</v>
      </c>
      <c r="B35" s="13">
        <v>1000</v>
      </c>
      <c r="C35" s="13">
        <v>200</v>
      </c>
      <c r="D35" s="13">
        <v>5</v>
      </c>
      <c r="E35" s="13">
        <v>8</v>
      </c>
      <c r="F35" s="13">
        <v>0.5</v>
      </c>
      <c r="G35" s="14">
        <v>71.13</v>
      </c>
      <c r="H35" s="14">
        <v>71.23</v>
      </c>
      <c r="I35" s="14">
        <v>71.04</v>
      </c>
      <c r="J35" s="15">
        <f>AVERAGE(G35:I35)</f>
        <v>71.1333333333333</v>
      </c>
      <c r="K35" s="15">
        <v>0.15</v>
      </c>
    </row>
    <row r="36" spans="1:11">
      <c r="A36" s="12">
        <v>59</v>
      </c>
      <c r="B36" s="13">
        <v>500</v>
      </c>
      <c r="C36" s="13">
        <v>2</v>
      </c>
      <c r="D36" s="13">
        <v>1</v>
      </c>
      <c r="E36" s="13">
        <v>4</v>
      </c>
      <c r="F36" s="13">
        <v>0.05</v>
      </c>
      <c r="G36" s="14">
        <v>71.2</v>
      </c>
      <c r="H36" s="14">
        <v>71.13</v>
      </c>
      <c r="I36" s="14">
        <v>71.23</v>
      </c>
      <c r="J36" s="15">
        <f>AVERAGE(G36:I36)</f>
        <v>71.1866666666667</v>
      </c>
      <c r="K36" s="15">
        <v>0.07</v>
      </c>
    </row>
    <row r="37" spans="1:11">
      <c r="A37" s="12">
        <v>13</v>
      </c>
      <c r="B37" s="13">
        <v>223</v>
      </c>
      <c r="C37" s="13">
        <v>200</v>
      </c>
      <c r="D37" s="13">
        <v>4</v>
      </c>
      <c r="E37" s="13">
        <v>3</v>
      </c>
      <c r="F37" s="13">
        <v>1</v>
      </c>
      <c r="G37" s="14">
        <v>72.33</v>
      </c>
      <c r="H37" s="14">
        <v>73.1</v>
      </c>
      <c r="I37" s="14">
        <v>73.19</v>
      </c>
      <c r="J37" s="15">
        <f>AVERAGE(G37:I37)</f>
        <v>72.8733333333333</v>
      </c>
      <c r="K37" s="15">
        <v>0.64</v>
      </c>
    </row>
    <row r="38" spans="1:11">
      <c r="A38" s="12">
        <v>6</v>
      </c>
      <c r="B38" s="13">
        <v>223</v>
      </c>
      <c r="C38" s="13">
        <v>2</v>
      </c>
      <c r="D38" s="13">
        <v>3</v>
      </c>
      <c r="E38" s="13">
        <v>8</v>
      </c>
      <c r="F38" s="13">
        <v>0.05</v>
      </c>
      <c r="G38" s="14"/>
      <c r="H38" s="14"/>
      <c r="I38" s="14"/>
      <c r="J38" s="15">
        <v>72.91</v>
      </c>
      <c r="K38" s="15">
        <v>0.02</v>
      </c>
    </row>
    <row r="39" spans="1:11">
      <c r="A39" s="12">
        <v>3</v>
      </c>
      <c r="B39" s="13">
        <v>500</v>
      </c>
      <c r="C39" s="13">
        <v>20</v>
      </c>
      <c r="D39" s="13">
        <v>1</v>
      </c>
      <c r="E39" s="13">
        <v>8</v>
      </c>
      <c r="F39" s="13">
        <v>0.8</v>
      </c>
      <c r="G39" s="14"/>
      <c r="H39" s="14"/>
      <c r="I39" s="14"/>
      <c r="J39" s="15">
        <v>73.13</v>
      </c>
      <c r="K39" s="15">
        <v>0.31</v>
      </c>
    </row>
    <row r="40" spans="1:11">
      <c r="A40" s="12">
        <v>9</v>
      </c>
      <c r="B40" s="13">
        <v>4000</v>
      </c>
      <c r="C40" s="13">
        <v>200</v>
      </c>
      <c r="D40" s="13">
        <v>3</v>
      </c>
      <c r="E40" s="13">
        <v>10</v>
      </c>
      <c r="F40" s="13">
        <v>1</v>
      </c>
      <c r="G40" s="14"/>
      <c r="H40" s="14"/>
      <c r="I40" s="14"/>
      <c r="J40" s="15">
        <v>75.1</v>
      </c>
      <c r="K40" s="15">
        <v>0.37</v>
      </c>
    </row>
    <row r="41" spans="1:11">
      <c r="A41" s="12">
        <v>26</v>
      </c>
      <c r="B41" s="13">
        <v>2000</v>
      </c>
      <c r="C41" s="13">
        <v>2</v>
      </c>
      <c r="D41" s="13">
        <v>1</v>
      </c>
      <c r="E41" s="13">
        <v>9</v>
      </c>
      <c r="F41" s="13">
        <v>0.05</v>
      </c>
      <c r="G41" s="14">
        <v>75.67</v>
      </c>
      <c r="H41" s="14">
        <v>75.78</v>
      </c>
      <c r="I41" s="14">
        <v>75.57</v>
      </c>
      <c r="J41" s="15">
        <f>AVERAGE(G41:I41)</f>
        <v>75.6733333333333</v>
      </c>
      <c r="K41" s="15">
        <v>0.24</v>
      </c>
    </row>
    <row r="42" spans="1:11">
      <c r="A42" s="12">
        <v>29</v>
      </c>
      <c r="B42" s="13">
        <v>1000</v>
      </c>
      <c r="C42" s="13">
        <v>20</v>
      </c>
      <c r="D42" s="13">
        <v>1</v>
      </c>
      <c r="E42" s="13">
        <v>9</v>
      </c>
      <c r="F42" s="13">
        <v>0.8</v>
      </c>
      <c r="G42" s="14">
        <v>77.02</v>
      </c>
      <c r="H42" s="14">
        <v>77.07</v>
      </c>
      <c r="I42" s="14">
        <v>76.91</v>
      </c>
      <c r="J42" s="15">
        <f>AVERAGE(G42:I42)</f>
        <v>77</v>
      </c>
      <c r="K42" s="15">
        <v>0.14</v>
      </c>
    </row>
    <row r="43" spans="1:11">
      <c r="A43" s="12">
        <v>48</v>
      </c>
      <c r="B43" s="13">
        <v>223</v>
      </c>
      <c r="C43" s="13">
        <v>20</v>
      </c>
      <c r="D43" s="13">
        <v>3</v>
      </c>
      <c r="E43" s="13">
        <v>5</v>
      </c>
      <c r="F43" s="13">
        <v>0.2</v>
      </c>
      <c r="G43" s="14">
        <v>78.54</v>
      </c>
      <c r="H43" s="14">
        <v>78.73</v>
      </c>
      <c r="I43" s="14">
        <v>78.78</v>
      </c>
      <c r="J43" s="15">
        <f>AVERAGE(G43:I43)</f>
        <v>78.6833333333333</v>
      </c>
      <c r="K43" s="15">
        <v>0.2</v>
      </c>
    </row>
    <row r="44" spans="1:11">
      <c r="A44" s="12">
        <v>1</v>
      </c>
      <c r="B44" s="13">
        <v>1000</v>
      </c>
      <c r="C44" s="13">
        <v>2</v>
      </c>
      <c r="D44" s="13">
        <v>1</v>
      </c>
      <c r="E44" s="13">
        <v>9</v>
      </c>
      <c r="F44" s="13">
        <v>0.1</v>
      </c>
      <c r="G44" s="14"/>
      <c r="H44" s="14"/>
      <c r="I44" s="14"/>
      <c r="J44" s="15">
        <v>79</v>
      </c>
      <c r="K44" s="15">
        <v>0.27</v>
      </c>
    </row>
    <row r="45" spans="1:11">
      <c r="A45" s="12">
        <v>45</v>
      </c>
      <c r="B45" s="13">
        <v>500</v>
      </c>
      <c r="C45" s="13">
        <v>20</v>
      </c>
      <c r="D45" s="13">
        <v>4</v>
      </c>
      <c r="E45" s="13">
        <v>6</v>
      </c>
      <c r="F45" s="13">
        <v>0.1</v>
      </c>
      <c r="G45" s="14">
        <v>80.06</v>
      </c>
      <c r="H45" s="14">
        <v>80.15</v>
      </c>
      <c r="I45" s="14">
        <v>80.03</v>
      </c>
      <c r="J45" s="15">
        <f>AVERAGE(G45:I45)</f>
        <v>80.08</v>
      </c>
      <c r="K45" s="15">
        <v>0.07</v>
      </c>
    </row>
    <row r="46" spans="1:11">
      <c r="A46" s="12">
        <v>57</v>
      </c>
      <c r="B46" s="13">
        <v>223</v>
      </c>
      <c r="C46" s="13">
        <v>200</v>
      </c>
      <c r="D46" s="13">
        <v>3</v>
      </c>
      <c r="E46" s="13">
        <v>5</v>
      </c>
      <c r="F46" s="13">
        <v>0.8</v>
      </c>
      <c r="G46" s="14">
        <v>82.06</v>
      </c>
      <c r="H46" s="14">
        <v>82.54</v>
      </c>
      <c r="I46" s="14">
        <v>82.28</v>
      </c>
      <c r="J46" s="15">
        <f>AVERAGE(G46:I46)</f>
        <v>82.2933333333333</v>
      </c>
      <c r="K46" s="15">
        <v>0.21</v>
      </c>
    </row>
    <row r="47" spans="1:11">
      <c r="A47" s="12">
        <v>37</v>
      </c>
      <c r="B47" s="13">
        <v>223</v>
      </c>
      <c r="C47" s="13">
        <v>200</v>
      </c>
      <c r="D47" s="13">
        <v>4</v>
      </c>
      <c r="E47" s="13">
        <v>8</v>
      </c>
      <c r="F47" s="13">
        <v>0.8</v>
      </c>
      <c r="G47" s="14">
        <v>83.24</v>
      </c>
      <c r="H47" s="14">
        <v>83.25</v>
      </c>
      <c r="I47" s="14">
        <v>83.08</v>
      </c>
      <c r="J47" s="15">
        <f>AVERAGE(G47:I47)</f>
        <v>83.19</v>
      </c>
      <c r="K47" s="15">
        <v>0.18</v>
      </c>
    </row>
    <row r="48" spans="1:11">
      <c r="A48" s="12">
        <v>41</v>
      </c>
      <c r="B48" s="13">
        <v>223</v>
      </c>
      <c r="C48" s="13">
        <v>20</v>
      </c>
      <c r="D48" s="13">
        <v>4</v>
      </c>
      <c r="E48" s="13">
        <v>7</v>
      </c>
      <c r="F48" s="13">
        <v>0.1</v>
      </c>
      <c r="G48" s="14">
        <v>85.55</v>
      </c>
      <c r="H48" s="14">
        <v>85.82</v>
      </c>
      <c r="I48" s="14">
        <v>85.26</v>
      </c>
      <c r="J48" s="15">
        <f>AVERAGE(G48:I48)</f>
        <v>85.5433333333333</v>
      </c>
      <c r="K48" s="15">
        <v>0.12</v>
      </c>
    </row>
    <row r="49" spans="1:11">
      <c r="A49" s="12">
        <v>39</v>
      </c>
      <c r="B49" s="13">
        <v>4000</v>
      </c>
      <c r="C49" s="13">
        <v>200</v>
      </c>
      <c r="D49" s="13">
        <v>2</v>
      </c>
      <c r="E49" s="13">
        <v>4</v>
      </c>
      <c r="F49" s="13">
        <v>0.1</v>
      </c>
      <c r="G49" s="14">
        <v>85.77</v>
      </c>
      <c r="H49" s="14">
        <v>85.91</v>
      </c>
      <c r="I49" s="14">
        <v>85.88</v>
      </c>
      <c r="J49" s="15">
        <f>AVERAGE(G49:I49)</f>
        <v>85.8533333333333</v>
      </c>
      <c r="K49" s="15">
        <v>0.73</v>
      </c>
    </row>
    <row r="50" spans="1:11">
      <c r="A50" s="12">
        <v>5</v>
      </c>
      <c r="B50" s="13">
        <v>500</v>
      </c>
      <c r="C50" s="13">
        <v>20</v>
      </c>
      <c r="D50" s="13">
        <v>1</v>
      </c>
      <c r="E50" s="13">
        <v>7</v>
      </c>
      <c r="F50" s="13">
        <v>0.2</v>
      </c>
      <c r="G50" s="14"/>
      <c r="H50" s="14"/>
      <c r="I50" s="14"/>
      <c r="J50" s="15">
        <v>87.04</v>
      </c>
      <c r="K50" s="15">
        <v>0.84</v>
      </c>
    </row>
    <row r="51" spans="1:11">
      <c r="A51" s="12">
        <v>47</v>
      </c>
      <c r="B51" s="13">
        <v>4000</v>
      </c>
      <c r="C51" s="13">
        <v>20</v>
      </c>
      <c r="D51" s="13">
        <v>1</v>
      </c>
      <c r="E51" s="13">
        <v>10</v>
      </c>
      <c r="F51" s="13">
        <v>0.05</v>
      </c>
      <c r="G51" s="14">
        <v>88.37</v>
      </c>
      <c r="H51" s="14">
        <v>88.15</v>
      </c>
      <c r="I51" s="14">
        <v>88.32</v>
      </c>
      <c r="J51" s="15">
        <f>AVERAGE(G51:I51)</f>
        <v>88.28</v>
      </c>
      <c r="K51" s="15">
        <v>1</v>
      </c>
    </row>
    <row r="52" spans="1:11">
      <c r="A52" s="12">
        <v>51</v>
      </c>
      <c r="B52" s="13">
        <v>2000</v>
      </c>
      <c r="C52" s="13">
        <v>200</v>
      </c>
      <c r="D52" s="13">
        <v>5</v>
      </c>
      <c r="E52" s="13">
        <v>6</v>
      </c>
      <c r="F52" s="13">
        <v>0.05</v>
      </c>
      <c r="G52" s="14">
        <v>95.1</v>
      </c>
      <c r="H52" s="14">
        <v>95.14</v>
      </c>
      <c r="I52" s="14">
        <v>95.12</v>
      </c>
      <c r="J52" s="15">
        <f>AVERAGE(G52:I52)</f>
        <v>95.12</v>
      </c>
      <c r="K52" s="15">
        <v>1.48</v>
      </c>
    </row>
    <row r="53" spans="1:11">
      <c r="A53" s="12">
        <v>2</v>
      </c>
      <c r="B53" s="13">
        <v>2000</v>
      </c>
      <c r="C53" s="13">
        <v>200</v>
      </c>
      <c r="D53" s="13">
        <v>1</v>
      </c>
      <c r="E53" s="13">
        <v>9</v>
      </c>
      <c r="F53" s="13">
        <v>0.2</v>
      </c>
      <c r="G53" s="14"/>
      <c r="H53" s="14"/>
      <c r="I53" s="14"/>
      <c r="J53" s="15">
        <v>107.3</v>
      </c>
      <c r="K53" s="15">
        <v>2</v>
      </c>
    </row>
    <row r="54" spans="1:11">
      <c r="A54" s="12">
        <v>12</v>
      </c>
      <c r="B54" s="13">
        <v>1000</v>
      </c>
      <c r="C54" s="13">
        <v>200</v>
      </c>
      <c r="D54" s="13">
        <v>2</v>
      </c>
      <c r="E54" s="13">
        <v>10</v>
      </c>
      <c r="F54" s="13">
        <v>0.1</v>
      </c>
      <c r="G54" s="14"/>
      <c r="H54" s="14"/>
      <c r="I54" s="14"/>
      <c r="J54" s="15"/>
      <c r="K54" s="15"/>
    </row>
    <row r="55" spans="1:11">
      <c r="A55" s="12">
        <v>17</v>
      </c>
      <c r="B55" s="13">
        <v>223</v>
      </c>
      <c r="C55" s="13">
        <v>200</v>
      </c>
      <c r="D55" s="13">
        <v>5</v>
      </c>
      <c r="E55" s="13">
        <v>6</v>
      </c>
      <c r="F55" s="13">
        <v>0.1</v>
      </c>
      <c r="G55" s="14"/>
      <c r="H55" s="14"/>
      <c r="I55" s="14"/>
      <c r="J55" s="15"/>
      <c r="K55" s="15"/>
    </row>
    <row r="56" spans="1:11">
      <c r="A56" s="12">
        <v>23</v>
      </c>
      <c r="B56" s="13">
        <v>500</v>
      </c>
      <c r="C56" s="13">
        <v>200</v>
      </c>
      <c r="D56" s="13">
        <v>5</v>
      </c>
      <c r="E56" s="13">
        <v>10</v>
      </c>
      <c r="F56" s="13">
        <v>0.1</v>
      </c>
      <c r="G56" s="14"/>
      <c r="H56" s="14"/>
      <c r="I56" s="14"/>
      <c r="J56" s="15"/>
      <c r="K56" s="15"/>
    </row>
    <row r="57" spans="1:11">
      <c r="A57" s="12">
        <v>24</v>
      </c>
      <c r="B57" s="13">
        <v>2000</v>
      </c>
      <c r="C57" s="13">
        <v>20</v>
      </c>
      <c r="D57" s="13">
        <v>5</v>
      </c>
      <c r="E57" s="13">
        <v>2</v>
      </c>
      <c r="F57" s="13">
        <v>0.2</v>
      </c>
      <c r="G57" s="14"/>
      <c r="H57" s="14"/>
      <c r="I57" s="14"/>
      <c r="J57" s="15"/>
      <c r="K57" s="15"/>
    </row>
    <row r="58" spans="1:11">
      <c r="A58" s="12">
        <v>43</v>
      </c>
      <c r="B58" s="13">
        <v>1000</v>
      </c>
      <c r="C58" s="13">
        <v>200</v>
      </c>
      <c r="D58" s="13">
        <v>4</v>
      </c>
      <c r="E58" s="13">
        <v>1</v>
      </c>
      <c r="F58" s="13">
        <v>0.5</v>
      </c>
      <c r="G58" s="14"/>
      <c r="H58" s="14"/>
      <c r="I58" s="14"/>
      <c r="J58" s="15"/>
      <c r="K58" s="15"/>
    </row>
    <row r="59" spans="1:11">
      <c r="A59" s="12">
        <v>52</v>
      </c>
      <c r="B59" s="13">
        <v>4000</v>
      </c>
      <c r="C59" s="13">
        <v>20</v>
      </c>
      <c r="D59" s="13">
        <v>2</v>
      </c>
      <c r="E59" s="13">
        <v>1</v>
      </c>
      <c r="F59" s="13">
        <v>0.1</v>
      </c>
      <c r="G59" s="14"/>
      <c r="H59" s="14"/>
      <c r="I59" s="14"/>
      <c r="J59" s="15"/>
      <c r="K59" s="15"/>
    </row>
    <row r="60" spans="1:11">
      <c r="A60" s="12">
        <v>55</v>
      </c>
      <c r="B60" s="13">
        <v>500</v>
      </c>
      <c r="C60" s="13">
        <v>200</v>
      </c>
      <c r="D60" s="13">
        <v>3</v>
      </c>
      <c r="E60" s="13">
        <v>9</v>
      </c>
      <c r="F60" s="13">
        <v>0.1</v>
      </c>
      <c r="G60" s="14"/>
      <c r="H60" s="14"/>
      <c r="I60" s="14"/>
      <c r="J60" s="15"/>
      <c r="K60" s="15"/>
    </row>
    <row r="61" spans="1:11">
      <c r="A61" s="12">
        <v>56</v>
      </c>
      <c r="B61" s="13">
        <v>500</v>
      </c>
      <c r="C61" s="13">
        <v>200</v>
      </c>
      <c r="D61" s="13">
        <v>1</v>
      </c>
      <c r="E61" s="13">
        <v>2</v>
      </c>
      <c r="F61" s="13">
        <v>0.05</v>
      </c>
      <c r="G61" s="14"/>
      <c r="H61" s="14"/>
      <c r="I61" s="14"/>
      <c r="J61" s="15"/>
      <c r="K61" s="15"/>
    </row>
  </sheetData>
  <sortState ref="A2:K61">
    <sortCondition ref="J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mly</dc:creator>
  <cp:lastModifiedBy>凌微</cp:lastModifiedBy>
  <dcterms:created xsi:type="dcterms:W3CDTF">2025-05-13T08:12:00Z</dcterms:created>
  <cp:lastPrinted>2025-11-20T10:25:00Z</cp:lastPrinted>
  <dcterms:modified xsi:type="dcterms:W3CDTF">2026-04-29T06:05:45Z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7B593CED865344D491C99A9E8AA0A30F_13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